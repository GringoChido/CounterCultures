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rice_List" sheetId="1" state="visible" r:id="rId1"/>
    <sheet xmlns:r="http://schemas.openxmlformats.org/officeDocument/2006/relationships" name="Brand_Summary" sheetId="2" state="visible" r:id="rId2"/>
    <sheet xmlns:r="http://schemas.openxmlformats.org/officeDocument/2006/relationships" name="Sync_Log" sheetId="3" state="visible" r:id="rId3"/>
  </sheets>
  <definedNames>
    <definedName name="_xlnm._FilterDatabase" localSheetId="0" hidden="1">'Master_Price_List'!$A$1:$R$1</definedName>
    <definedName name="_xlnm._FilterDatabase" localSheetId="1" hidden="1">'Brand_Summary'!$A$1:$H$1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6" customWidth="1" min="4" max="4"/>
    <col width="18" customWidth="1" min="5" max="5"/>
    <col width="18" customWidth="1" min="6" max="6"/>
    <col width="18" customWidth="1" min="7" max="7"/>
    <col width="14" customWidth="1" min="8" max="8"/>
    <col width="14" customWidth="1" min="9" max="9"/>
    <col width="16" customWidth="1" min="10" max="10"/>
    <col width="10" customWidth="1" min="11" max="11"/>
    <col width="16" customWidth="1" min="12" max="12"/>
    <col width="14" customWidth="1" min="13" max="13"/>
    <col width="8" customWidth="1" min="14" max="14"/>
    <col width="14" customWidth="1" min="15" max="15"/>
    <col width="14" customWidth="1" min="16" max="16"/>
    <col width="30" customWidth="1" min="17" max="17"/>
    <col width="14" customWidth="1" min="18" max="18"/>
  </cols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Collection</t>
        </is>
      </c>
      <c r="G1" s="1" t="inlineStr">
        <is>
          <t>Finish</t>
        </is>
      </c>
      <c r="H1" s="1" t="inlineStr">
        <is>
          <t>MSRP (USD)</t>
        </is>
      </c>
      <c r="I1" s="1" t="inlineStr">
        <is>
          <t>MAP Price (USD)</t>
        </is>
      </c>
      <c r="J1" s="1" t="inlineStr">
        <is>
          <t>Dealer Cost (USD)</t>
        </is>
      </c>
      <c r="K1" s="1" t="inlineStr">
        <is>
          <t>Margin %</t>
        </is>
      </c>
      <c r="L1" s="1" t="inlineStr">
        <is>
          <t>UPC</t>
        </is>
      </c>
      <c r="M1" s="1" t="inlineStr">
        <is>
          <t>Status</t>
        </is>
      </c>
      <c r="N1" s="1" t="inlineStr">
        <is>
          <t>Unit</t>
        </is>
      </c>
      <c r="O1" s="1" t="inlineStr">
        <is>
          <t>Price Effective</t>
        </is>
      </c>
      <c r="P1" s="1" t="inlineStr">
        <is>
          <t>Shipping Cost</t>
        </is>
      </c>
      <c r="Q1" s="1" t="inlineStr">
        <is>
          <t>Source File</t>
        </is>
      </c>
      <c r="R1" s="1" t="inlineStr">
        <is>
          <t>Last Synced</t>
        </is>
      </c>
    </row>
    <row r="2">
      <c r="A2" s="2" t="inlineStr">
        <is>
          <t>Ruvati</t>
        </is>
      </c>
      <c r="B2" s="2" t="inlineStr">
        <is>
          <t>RVA1022BL</t>
        </is>
      </c>
      <c r="C2" s="2" t="inlineStr">
        <is>
          <t>Accessories - Black</t>
        </is>
      </c>
      <c r="D2" s="2" t="inlineStr">
        <is>
          <t>Accessories</t>
        </is>
      </c>
      <c r="E2" s="2" t="inlineStr">
        <is>
          <t>Accessories</t>
        </is>
      </c>
      <c r="F2" s="2" t="inlineStr">
        <is>
          <t>Accessories</t>
        </is>
      </c>
      <c r="G2" s="2" t="inlineStr">
        <is>
          <t>Black</t>
        </is>
      </c>
      <c r="H2" s="3" t="n">
        <v>61.25</v>
      </c>
      <c r="I2" s="3" t="n">
        <v>49</v>
      </c>
      <c r="J2" s="3" t="n">
        <v>34</v>
      </c>
      <c r="K2" s="4">
        <f>IF(AND(H2&lt;&gt;"",J2&lt;&gt;""),(H2-J2)/H2,"")</f>
        <v/>
      </c>
      <c r="L2" s="2" t="inlineStr"/>
      <c r="M2" s="2" t="inlineStr">
        <is>
          <t>CURRENT</t>
        </is>
      </c>
      <c r="N2" s="2" t="inlineStr">
        <is>
          <t>EACH</t>
        </is>
      </c>
      <c r="O2" s="2" t="inlineStr"/>
      <c r="P2" s="3" t="n">
        <v>6</v>
      </c>
      <c r="Q2" s="2" t="inlineStr">
        <is>
          <t>Ruvati Price List - 2025.xlsx</t>
        </is>
      </c>
      <c r="R2" s="2" t="inlineStr"/>
    </row>
    <row r="3">
      <c r="A3" s="5" t="inlineStr">
        <is>
          <t>Ruvati</t>
        </is>
      </c>
      <c r="B3" s="5" t="inlineStr">
        <is>
          <t>RVH5003BL</t>
        </is>
      </c>
      <c r="C3" s="5" t="inlineStr">
        <is>
          <t>Kitchen Sink - Giana Black</t>
        </is>
      </c>
      <c r="D3" s="5" t="inlineStr">
        <is>
          <t>Kitchen Sink</t>
        </is>
      </c>
      <c r="E3" s="5" t="inlineStr">
        <is>
          <t>Undermount</t>
        </is>
      </c>
      <c r="F3" s="5" t="inlineStr">
        <is>
          <t>Giana</t>
        </is>
      </c>
      <c r="G3" s="5" t="inlineStr">
        <is>
          <t>Black</t>
        </is>
      </c>
      <c r="H3" s="6" t="n">
        <v>673.75</v>
      </c>
      <c r="I3" s="6" t="n">
        <v>539</v>
      </c>
      <c r="J3" s="6" t="n">
        <v>439</v>
      </c>
      <c r="K3" s="7">
        <f>IF(AND(H3&lt;&gt;"",J3&lt;&gt;""),(H3-J3)/H3,"")</f>
        <v/>
      </c>
      <c r="L3" s="5" t="inlineStr"/>
      <c r="M3" s="5" t="inlineStr">
        <is>
          <t>CURRENT</t>
        </is>
      </c>
      <c r="N3" s="5" t="inlineStr">
        <is>
          <t>EACH</t>
        </is>
      </c>
      <c r="O3" s="5" t="inlineStr"/>
      <c r="P3" s="6" t="n">
        <v>50</v>
      </c>
      <c r="Q3" s="5" t="inlineStr">
        <is>
          <t>Ruvati Price List - 2025.xlsx</t>
        </is>
      </c>
      <c r="R3" s="5" t="inlineStr"/>
    </row>
    <row r="4">
      <c r="A4" s="2" t="inlineStr">
        <is>
          <t>Deltana</t>
        </is>
      </c>
      <c r="B4" s="2" t="inlineStr">
        <is>
          <t>12EFB10B</t>
        </is>
      </c>
      <c r="C4" s="2" t="inlineStr">
        <is>
          <t>Extension Flush Bolt 12" US10B</t>
        </is>
      </c>
      <c r="D4" s="2" t="inlineStr">
        <is>
          <t>Hardware</t>
        </is>
      </c>
      <c r="E4" s="2" t="inlineStr">
        <is>
          <t>Door Hardware</t>
        </is>
      </c>
      <c r="F4" s="2" t="inlineStr"/>
      <c r="G4" s="2" t="inlineStr">
        <is>
          <t>US10B</t>
        </is>
      </c>
      <c r="H4" s="3" t="n">
        <v>39</v>
      </c>
      <c r="I4" s="2" t="n"/>
      <c r="J4" s="2" t="n"/>
      <c r="K4" s="4">
        <f>IF(AND(H4&lt;&gt;"",J4&lt;&gt;""),(H4-J4)/H4,"")</f>
        <v/>
      </c>
      <c r="L4" s="2" t="inlineStr">
        <is>
          <t>7609232586040</t>
        </is>
      </c>
      <c r="M4" s="2" t="inlineStr">
        <is>
          <t>CURRENT</t>
        </is>
      </c>
      <c r="N4" s="2" t="inlineStr">
        <is>
          <t>EACH</t>
        </is>
      </c>
      <c r="O4" s="2" t="inlineStr"/>
      <c r="P4" s="2" t="n"/>
      <c r="Q4" s="2" t="inlineStr">
        <is>
          <t>PRICE LIST DELTANA DECEMBER 2024.xlsx</t>
        </is>
      </c>
      <c r="R4" s="2" t="inlineStr"/>
    </row>
    <row r="5">
      <c r="A5" s="5" t="inlineStr">
        <is>
          <t>BLANCO</t>
        </is>
      </c>
      <c r="B5" s="5" t="inlineStr">
        <is>
          <t>443033</t>
        </is>
      </c>
      <c r="C5" s="5" t="inlineStr">
        <is>
          <t>Air Gap - Chrome</t>
        </is>
      </c>
      <c r="D5" s="5" t="inlineStr">
        <is>
          <t>Accessory</t>
        </is>
      </c>
      <c r="E5" s="5" t="inlineStr">
        <is>
          <t>Air Gap</t>
        </is>
      </c>
      <c r="F5" s="5" t="inlineStr"/>
      <c r="G5" s="5" t="inlineStr">
        <is>
          <t>Chrome</t>
        </is>
      </c>
      <c r="H5" s="6" t="n">
        <v>65</v>
      </c>
      <c r="I5" s="5" t="n"/>
      <c r="J5" s="5" t="n"/>
      <c r="K5" s="7">
        <f>IF(AND(H5&lt;&gt;"",J5&lt;&gt;""),(H5-J5)/H5,"")</f>
        <v/>
      </c>
      <c r="L5" s="5" t="inlineStr">
        <is>
          <t>4020684771412</t>
        </is>
      </c>
      <c r="M5" s="5" t="inlineStr">
        <is>
          <t>CURRENT</t>
        </is>
      </c>
      <c r="N5" s="5" t="inlineStr">
        <is>
          <t>EACH</t>
        </is>
      </c>
      <c r="O5" s="5" t="inlineStr">
        <is>
          <t>2024-02-01</t>
        </is>
      </c>
      <c r="P5" s="5" t="n"/>
      <c r="Q5" s="5" t="inlineStr">
        <is>
          <t>BLANCO America List Price 2024.xlsx</t>
        </is>
      </c>
      <c r="R5" s="5" t="inlineStr"/>
    </row>
    <row r="6">
      <c r="A6" s="2" t="inlineStr">
        <is>
          <t>California Faucets</t>
        </is>
      </c>
      <c r="B6" s="2" t="inlineStr"/>
      <c r="C6" s="2" t="inlineStr">
        <is>
          <t>(Populated by sync)</t>
        </is>
      </c>
      <c r="D6" s="2" t="inlineStr">
        <is>
          <t>Faucet</t>
        </is>
      </c>
      <c r="E6" s="2" t="inlineStr"/>
      <c r="F6" s="2" t="inlineStr"/>
      <c r="G6" s="2" t="inlineStr"/>
      <c r="H6" s="2" t="n"/>
      <c r="I6" s="2" t="n"/>
      <c r="J6" s="2" t="n"/>
      <c r="K6" s="4">
        <f>IF(AND(H6&lt;&gt;"",J6&lt;&gt;""),(H6-J6)/H6,"")</f>
        <v/>
      </c>
      <c r="L6" s="2" t="inlineStr"/>
      <c r="M6" s="2" t="inlineStr"/>
      <c r="N6" s="2" t="inlineStr">
        <is>
          <t>EACH</t>
        </is>
      </c>
      <c r="O6" s="2" t="inlineStr"/>
      <c r="P6" s="2" t="n"/>
      <c r="Q6" s="2" t="inlineStr">
        <is>
          <t>2025-California-Faucets-Dealer-Pricing-v1.3.xlsx</t>
        </is>
      </c>
      <c r="R6" s="2" t="inlineStr"/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4" customWidth="1" min="4" max="4"/>
    <col width="16" customWidth="1" min="5" max="5"/>
    <col width="12" customWidth="1" min="6" max="6"/>
    <col width="40" customWidth="1" min="7" max="7"/>
    <col width="14" customWidth="1" min="8" max="8"/>
  </cols>
  <sheetData>
    <row r="1">
      <c r="A1" s="1" t="inlineStr">
        <is>
          <t>Brand</t>
        </is>
      </c>
      <c r="B1" s="1" t="inlineStr">
        <is>
          <t>Total SKUs</t>
        </is>
      </c>
      <c r="C1" s="1" t="inlineStr">
        <is>
          <t>Categories</t>
        </is>
      </c>
      <c r="D1" s="1" t="inlineStr">
        <is>
          <t>Avg MSRP</t>
        </is>
      </c>
      <c r="E1" s="1" t="inlineStr">
        <is>
          <t>Avg Dealer Cost</t>
        </is>
      </c>
      <c r="F1" s="1" t="inlineStr">
        <is>
          <t>Avg Margin</t>
        </is>
      </c>
      <c r="G1" s="1" t="inlineStr">
        <is>
          <t>Source File</t>
        </is>
      </c>
      <c r="H1" s="1" t="inlineStr">
        <is>
          <t>Last Updated</t>
        </is>
      </c>
    </row>
    <row r="2">
      <c r="A2" s="5" t="inlineStr">
        <is>
          <t>Ruvati</t>
        </is>
      </c>
      <c r="B2" s="8">
        <f>COUNTIF(Master_Price_List!A:A,A2)</f>
        <v/>
      </c>
      <c r="C2" s="5" t="inlineStr">
        <is>
          <t>Sinks, Faucets, Accessories</t>
        </is>
      </c>
      <c r="D2" s="6">
        <f>AVERAGEIFS(Master_Price_List!H:H,Master_Price_List!A:A,A2)</f>
        <v/>
      </c>
      <c r="E2" s="6">
        <f>AVERAGEIFS(Master_Price_List!J:J,Master_Price_List!A:A,A2)</f>
        <v/>
      </c>
      <c r="F2" s="7">
        <f>IFERROR(1-(E2/D2),"")</f>
        <v/>
      </c>
      <c r="G2" s="5" t="inlineStr">
        <is>
          <t>Ruvati Price List - 2025.xlsx</t>
        </is>
      </c>
      <c r="H2" s="5" t="inlineStr"/>
    </row>
    <row r="3">
      <c r="A3" s="5" t="inlineStr">
        <is>
          <t>Deltana</t>
        </is>
      </c>
      <c r="B3" s="8">
        <f>COUNTIF(Master_Price_List!A:A,A3)</f>
        <v/>
      </c>
      <c r="C3" s="5" t="inlineStr">
        <is>
          <t>Door Hardware, Cabinet Hardware</t>
        </is>
      </c>
      <c r="D3" s="6">
        <f>AVERAGEIFS(Master_Price_List!H:H,Master_Price_List!A:A,A3)</f>
        <v/>
      </c>
      <c r="E3" s="6">
        <f>AVERAGEIFS(Master_Price_List!J:J,Master_Price_List!A:A,A3)</f>
        <v/>
      </c>
      <c r="F3" s="7">
        <f>IFERROR(1-(E3/D3),"")</f>
        <v/>
      </c>
      <c r="G3" s="5" t="inlineStr">
        <is>
          <t>PRICE LIST DELTANA DECEMBER 2024.xlsx</t>
        </is>
      </c>
      <c r="H3" s="5" t="inlineStr"/>
    </row>
    <row r="4">
      <c r="A4" s="5" t="inlineStr">
        <is>
          <t>BLANCO</t>
        </is>
      </c>
      <c r="B4" s="8">
        <f>COUNTIF(Master_Price_List!A:A,A4)</f>
        <v/>
      </c>
      <c r="C4" s="5" t="inlineStr">
        <is>
          <t>Sinks, Faucets, Accessories</t>
        </is>
      </c>
      <c r="D4" s="6">
        <f>AVERAGEIFS(Master_Price_List!H:H,Master_Price_List!A:A,A4)</f>
        <v/>
      </c>
      <c r="E4" s="6">
        <f>AVERAGEIFS(Master_Price_List!J:J,Master_Price_List!A:A,A4)</f>
        <v/>
      </c>
      <c r="F4" s="7">
        <f>IFERROR(1-(E4/D4),"")</f>
        <v/>
      </c>
      <c r="G4" s="5" t="inlineStr">
        <is>
          <t>BLANCO America List Price 2024.xlsx</t>
        </is>
      </c>
      <c r="H4" s="5" t="inlineStr"/>
    </row>
    <row r="5">
      <c r="A5" s="5" t="inlineStr">
        <is>
          <t>California Faucets</t>
        </is>
      </c>
      <c r="B5" s="8">
        <f>COUNTIF(Master_Price_List!A:A,A5)</f>
        <v/>
      </c>
      <c r="C5" s="5" t="inlineStr">
        <is>
          <t>Faucets, Bath Hardware</t>
        </is>
      </c>
      <c r="D5" s="6">
        <f>AVERAGEIFS(Master_Price_List!H:H,Master_Price_List!A:A,A5)</f>
        <v/>
      </c>
      <c r="E5" s="6">
        <f>AVERAGEIFS(Master_Price_List!J:J,Master_Price_List!A:A,A5)</f>
        <v/>
      </c>
      <c r="F5" s="7">
        <f>IFERROR(1-(E5/D5),"")</f>
        <v/>
      </c>
      <c r="G5" s="5" t="inlineStr">
        <is>
          <t>California-Faucets-Dealer-Pricing-v1.3.xlsx</t>
        </is>
      </c>
      <c r="H5" s="5" t="inlineStr"/>
    </row>
    <row r="6">
      <c r="A6" s="5" t="inlineStr">
        <is>
          <t>Emtek</t>
        </is>
      </c>
      <c r="B6" s="8">
        <f>COUNTIF(Master_Price_List!A:A,A6)</f>
        <v/>
      </c>
      <c r="C6" s="5" t="inlineStr">
        <is>
          <t>Door Hardware</t>
        </is>
      </c>
      <c r="D6" s="6">
        <f>AVERAGEIFS(Master_Price_List!H:H,Master_Price_List!A:A,A6)</f>
        <v/>
      </c>
      <c r="E6" s="6">
        <f>AVERAGEIFS(Master_Price_List!J:J,Master_Price_List!A:A,A6)</f>
        <v/>
      </c>
      <c r="F6" s="7">
        <f>IFERROR(1-(E6/D6),"")</f>
        <v/>
      </c>
      <c r="G6" s="5" t="inlineStr">
        <is>
          <t>2025 Emtek Door Hardware Price Book (PDF)</t>
        </is>
      </c>
      <c r="H6" s="5" t="inlineStr"/>
    </row>
    <row r="7">
      <c r="A7" s="5" t="inlineStr">
        <is>
          <t>Yale</t>
        </is>
      </c>
      <c r="B7" s="8">
        <f>COUNTIF(Master_Price_List!A:A,A7)</f>
        <v/>
      </c>
      <c r="C7" s="5" t="inlineStr">
        <is>
          <t>Door Hardware, Expressions</t>
        </is>
      </c>
      <c r="D7" s="6">
        <f>AVERAGEIFS(Master_Price_List!H:H,Master_Price_List!A:A,A7)</f>
        <v/>
      </c>
      <c r="E7" s="6">
        <f>AVERAGEIFS(Master_Price_List!J:J,Master_Price_List!A:A,A7)</f>
        <v/>
      </c>
      <c r="F7" s="7">
        <f>IFERROR(1-(E7/D7),"")</f>
        <v/>
      </c>
      <c r="G7" s="5" t="inlineStr">
        <is>
          <t>2025 Yale Expressions Price Book (PDF)</t>
        </is>
      </c>
      <c r="H7" s="5" t="inlineStr"/>
    </row>
    <row r="8">
      <c r="A8" s="5" t="inlineStr">
        <is>
          <t>Emtek/Schaub</t>
        </is>
      </c>
      <c r="B8" s="8">
        <f>COUNTIF(Master_Price_List!A:A,A8)</f>
        <v/>
      </c>
      <c r="C8" s="5" t="inlineStr">
        <is>
          <t>Cabinet &amp; Bath Hardware</t>
        </is>
      </c>
      <c r="D8" s="6">
        <f>AVERAGEIFS(Master_Price_List!H:H,Master_Price_List!A:A,A8)</f>
        <v/>
      </c>
      <c r="E8" s="6">
        <f>AVERAGEIFS(Master_Price_List!J:J,Master_Price_List!A:A,A8)</f>
        <v/>
      </c>
      <c r="F8" s="7">
        <f>IFERROR(1-(E8/D8),"")</f>
        <v/>
      </c>
      <c r="G8" s="5" t="inlineStr">
        <is>
          <t>Emtek Schaub Cabinet Bath Hardware (PNG)</t>
        </is>
      </c>
      <c r="H8" s="5" t="inlineStr"/>
    </row>
    <row r="9">
      <c r="A9" s="5" t="inlineStr">
        <is>
          <t>Rayito</t>
        </is>
      </c>
      <c r="B9" s="8">
        <f>COUNTIF(Master_Price_List!A:A,A9)</f>
        <v/>
      </c>
      <c r="C9" s="5" t="inlineStr">
        <is>
          <t>Artisan Products</t>
        </is>
      </c>
      <c r="D9" s="6">
        <f>AVERAGEIFS(Master_Price_List!H:H,Master_Price_List!A:A,A9)</f>
        <v/>
      </c>
      <c r="E9" s="6">
        <f>AVERAGEIFS(Master_Price_List!J:J,Master_Price_List!A:A,A9)</f>
        <v/>
      </c>
      <c r="F9" s="7">
        <f>IFERROR(1-(E9/D9),"")</f>
        <v/>
      </c>
      <c r="G9" s="5" t="inlineStr">
        <is>
          <t>Catálogo Rayito 2025 (PDF)</t>
        </is>
      </c>
      <c r="H9" s="5" t="inlineStr"/>
    </row>
    <row r="10">
      <c r="A10" s="5" t="inlineStr">
        <is>
          <t>BJO</t>
        </is>
      </c>
      <c r="B10" s="8">
        <f>COUNTIF(Master_Price_List!A:A,A10)</f>
        <v/>
      </c>
      <c r="C10" s="5" t="inlineStr">
        <is>
          <t>Fixtures</t>
        </is>
      </c>
      <c r="D10" s="6">
        <f>AVERAGEIFS(Master_Price_List!H:H,Master_Price_List!A:A,A10)</f>
        <v/>
      </c>
      <c r="E10" s="6">
        <f>AVERAGEIFS(Master_Price_List!J:J,Master_Price_List!A:A,A10)</f>
        <v/>
      </c>
      <c r="F10" s="7">
        <f>IFERROR(1-(E10/D10),"")</f>
        <v/>
      </c>
      <c r="G10" s="5" t="inlineStr">
        <is>
          <t>Lista de Precios BJO Abril 2025 (PDF)</t>
        </is>
      </c>
      <c r="H10" s="5" t="inlineStr"/>
    </row>
    <row r="11">
      <c r="A11" s="5" t="inlineStr">
        <is>
          <t>Mistoa</t>
        </is>
      </c>
      <c r="B11" s="8">
        <f>COUNTIF(Master_Price_List!A:A,A11)</f>
        <v/>
      </c>
      <c r="C11" s="5" t="inlineStr">
        <is>
          <t>Distributor Products</t>
        </is>
      </c>
      <c r="D11" s="6">
        <f>AVERAGEIFS(Master_Price_List!H:H,Master_Price_List!A:A,A11)</f>
        <v/>
      </c>
      <c r="E11" s="6">
        <f>AVERAGEIFS(Master_Price_List!J:J,Master_Price_List!A:A,A11)</f>
        <v/>
      </c>
      <c r="F11" s="7">
        <f>IFERROR(1-(E11/D11),"")</f>
        <v/>
      </c>
      <c r="G11" s="5" t="inlineStr">
        <is>
          <t>Tabla Precios Distribuidores Mistoa (PDF)</t>
        </is>
      </c>
      <c r="H11" s="5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35" customWidth="1" min="7" max="7"/>
    <col width="12" customWidth="1" min="8" max="8"/>
    <col width="30" customWidth="1" min="9" max="9"/>
  </cols>
  <sheetData>
    <row r="1">
      <c r="A1" s="1" t="inlineStr">
        <is>
          <t>Timestamp</t>
        </is>
      </c>
      <c r="B1" s="1" t="inlineStr">
        <is>
          <t>Brand</t>
        </is>
      </c>
      <c r="C1" s="1" t="inlineStr">
        <is>
          <t>Action</t>
        </is>
      </c>
      <c r="D1" s="1" t="inlineStr">
        <is>
          <t>Rows Added</t>
        </is>
      </c>
      <c r="E1" s="1" t="inlineStr">
        <is>
          <t>Rows Updated</t>
        </is>
      </c>
      <c r="F1" s="1" t="inlineStr">
        <is>
          <t>Rows Removed</t>
        </is>
      </c>
      <c r="G1" s="1" t="inlineStr">
        <is>
          <t>Source File</t>
        </is>
      </c>
      <c r="H1" s="1" t="inlineStr">
        <is>
          <t>Status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2026-04-02T16:49:08Z</dcterms:created>
  <dcterms:modified xmlns:dcterms="http://purl.org/dc/terms/" xmlns:xsi="http://www.w3.org/2001/XMLSchema-instance" xsi:type="dcterms:W3CDTF">2026-04-02T16:49:08Z</dcterms:modified>
</cp:coreProperties>
</file>