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ject Overview" sheetId="1" state="visible" r:id="rId3"/>
    <sheet name="Tasks" sheetId="2" state="visible" r:id="rId4"/>
    <sheet name="Roger's Checklist" sheetId="3" state="visible" r:id="rId5"/>
    <sheet name="Monthly Costs" sheetId="4" state="visible" r:id="rId6"/>
  </sheets>
  <definedNames>
    <definedName function="false" hidden="true" localSheetId="1" name="_xlnm._FilterDatabase" vbProcedure="false">Tasks!$A$1:$I$1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<sst xmlns="http://schemas.openxmlformats.org/spreadsheetml/2006/main" count="663" uniqueCount="278">
  <si>
    <t xml:space="preserve">Counter Cultures × Untold Works — Project Roadmap</t>
  </si>
  <si>
    <t xml:space="preserve">Created: April 3, 2026 | Status: Active | Last Updated: April 03, 2026</t>
  </si>
  <si>
    <t xml:space="preserve">Workstream</t>
  </si>
  <si>
    <t xml:space="preserve">Owner</t>
  </si>
  <si>
    <t xml:space="preserve">Tasks</t>
  </si>
  <si>
    <t xml:space="preserve">Status</t>
  </si>
  <si>
    <t xml:space="preserve">Target Start</t>
  </si>
  <si>
    <t xml:space="preserve">Target Complete</t>
  </si>
  <si>
    <t xml:space="preserve">Notes</t>
  </si>
  <si>
    <t xml:space="preserve">1. Platform Setup</t>
  </si>
  <si>
    <t xml:space="preserve">Untold Works + Roger</t>
  </si>
  <si>
    <t xml:space="preserve">Not Started</t>
  </si>
  <si>
    <t xml:space="preserve">Week 1</t>
  </si>
  <si>
    <t xml:space="preserve">Week 2</t>
  </si>
  <si>
    <t xml:space="preserve">Google Workspace, Stripe verify, domain, Odoo extract</t>
  </si>
  <si>
    <t xml:space="preserve">2. Catalog &amp; Content</t>
  </si>
  <si>
    <t xml:space="preserve">In Progress</t>
  </si>
  <si>
    <t xml:space="preserve">Week 4</t>
  </si>
  <si>
    <t xml:space="preserve">491 products, images, copy, brand pages</t>
  </si>
  <si>
    <t xml:space="preserve">3. Operations Build</t>
  </si>
  <si>
    <t xml:space="preserve">Untold Works</t>
  </si>
  <si>
    <t xml:space="preserve">Week 3</t>
  </si>
  <si>
    <t xml:space="preserve">Week 5</t>
  </si>
  <si>
    <t xml:space="preserve">CRM wiring, order tracking, finance dashboard, AI chatbot</t>
  </si>
  <si>
    <t xml:space="preserve">4. Marketing Engine</t>
  </si>
  <si>
    <t xml:space="preserve">Week 8</t>
  </si>
  <si>
    <t xml:space="preserve">SEO, AEO, social, blog, newsletter, trade program</t>
  </si>
  <si>
    <t xml:space="preserve">5. Launch &amp; Handoff</t>
  </si>
  <si>
    <t xml:space="preserve">Week 6</t>
  </si>
  <si>
    <t xml:space="preserve">Training, go-live checklist, monitoring</t>
  </si>
  <si>
    <t xml:space="preserve">Task</t>
  </si>
  <si>
    <t xml:space="preserve">Priority</t>
  </si>
  <si>
    <t xml:space="preserve">Deck Slide</t>
  </si>
  <si>
    <t xml:space="preserve">Dependencies</t>
  </si>
  <si>
    <t xml:space="preserve">Target Week</t>
  </si>
  <si>
    <t xml:space="preserve">Get Odoo URL from Roger</t>
  </si>
  <si>
    <t xml:space="preserve">Platform Setup</t>
  </si>
  <si>
    <t xml:space="preserve">Roger</t>
  </si>
  <si>
    <t xml:space="preserve">Critical</t>
  </si>
  <si>
    <t xml:space="preserve">Close</t>
  </si>
  <si>
    <t xml:space="preserve">—</t>
  </si>
  <si>
    <t xml:space="preserve">Need to extract existing customer data, sales history, invoices</t>
  </si>
  <si>
    <t xml:space="preserve">Extract Odoo data → Google Sheets CRM</t>
  </si>
  <si>
    <t xml:space="preserve">Roadmap</t>
  </si>
  <si>
    <t xml:space="preserve">Odoo URL</t>
  </si>
  <si>
    <t xml:space="preserve">Contacts, sales history, invoices → Sheets tabs</t>
  </si>
  <si>
    <t xml:space="preserve">Verify Stripe Mexico connection</t>
  </si>
  <si>
    <t xml:space="preserve">Stripe already connected per Joshua — verify live + bank payout</t>
  </si>
  <si>
    <t xml:space="preserve">Connect Google Workspace</t>
  </si>
  <si>
    <t xml:space="preserve">Service account needs access to Roger's Workspace</t>
  </si>
  <si>
    <t xml:space="preserve">Confirm contact details (phone + email domain)</t>
  </si>
  <si>
    <t xml:space="preserve">High</t>
  </si>
  <si>
    <t xml:space="preserve">Phone is placeholder; email discrepancy .mx vs .com.mx</t>
  </si>
  <si>
    <t xml:space="preserve">Domain decision — point countercultures.com.mx to Netlify</t>
  </si>
  <si>
    <t xml:space="preserve">Roger + Untold Works</t>
  </si>
  <si>
    <t xml:space="preserve">Site review complete</t>
  </si>
  <si>
    <t xml:space="preserve">DNS update + SSL cert</t>
  </si>
  <si>
    <t xml:space="preserve">Register WhatsApp Business</t>
  </si>
  <si>
    <t xml:space="preserve">~1 week for Meta approval; critical for Mexico market</t>
  </si>
  <si>
    <t xml:space="preserve">Connect WhatsApp Business API to platform</t>
  </si>
  <si>
    <t xml:space="preserve">Fulfillment</t>
  </si>
  <si>
    <t xml:space="preserve">WhatsApp approved</t>
  </si>
  <si>
    <t xml:space="preserve">Customer notifications, lead capture, status updates</t>
  </si>
  <si>
    <t xml:space="preserve">Roger reviews Master Price List — confirm dealer costs + margins</t>
  </si>
  <si>
    <t xml:space="preserve">Catalog &amp; Content</t>
  </si>
  <si>
    <t xml:space="preserve">491 products across 11 brands; need confirmed pricing</t>
  </si>
  <si>
    <t xml:space="preserve">Product image audit — flag stock/duplicate photos</t>
  </si>
  <si>
    <t xml:space="preserve">64 products live, many using stock/duplicate images</t>
  </si>
  <si>
    <t xml:space="preserve">Source real product images from manufacturers</t>
  </si>
  <si>
    <t xml:space="preserve">Image audit done</t>
  </si>
  <si>
    <t xml:space="preserve">Need manufacturer-supplied or real product photography</t>
  </si>
  <si>
    <t xml:space="preserve">Replace stock images on 19 brand pages</t>
  </si>
  <si>
    <t xml:space="preserve">Real images sourced</t>
  </si>
  <si>
    <t xml:space="preserve">Brand pages currently use Unsplash stock photos</t>
  </si>
  <si>
    <t xml:space="preserve">Roger walks the site — flag copy/pricing/category issues</t>
  </si>
  <si>
    <t xml:space="preserve">countercultures.netlify.app/en — full review needed</t>
  </si>
  <si>
    <t xml:space="preserve">Copy polish — hero messaging, spec gaps, deduplicate language</t>
  </si>
  <si>
    <t xml:space="preserve">Roger's feedback</t>
  </si>
  <si>
    <t xml:space="preserve">Hero too generic; 'curated' overused; product specs incomplete</t>
  </si>
  <si>
    <t xml:space="preserve">Wire 491 products with confirmed pricing into CRM + site</t>
  </si>
  <si>
    <t xml:space="preserve">Inventory</t>
  </si>
  <si>
    <t xml:space="preserve">Price List confirmed</t>
  </si>
  <si>
    <t xml:space="preserve">Master Price List → Google Sheets → Website auto-update</t>
  </si>
  <si>
    <t xml:space="preserve">Import 1,019 product images organized by brand/category</t>
  </si>
  <si>
    <t xml:space="preserve">Images sourced</t>
  </si>
  <si>
    <t xml:space="preserve">Google Drive → Website CDN pipeline</t>
  </si>
  <si>
    <t xml:space="preserve">First 10 blog posts (bilingual, SEO + AEO)</t>
  </si>
  <si>
    <t xml:space="preserve">Medium</t>
  </si>
  <si>
    <t xml:space="preserve">Brand</t>
  </si>
  <si>
    <t xml:space="preserve">Site live</t>
  </si>
  <si>
    <t xml:space="preserve">Week 5-6</t>
  </si>
  <si>
    <t xml:space="preserve">Brand stories, product guides, project showcases</t>
  </si>
  <si>
    <t xml:space="preserve">Sales pipeline operational: leads → quotes → Stripe invoices</t>
  </si>
  <si>
    <t xml:space="preserve">Operations Build</t>
  </si>
  <si>
    <t xml:space="preserve">Sales</t>
  </si>
  <si>
    <t xml:space="preserve">CRM populated + Stripe</t>
  </si>
  <si>
    <t xml:space="preserve">Full pipeline: Inquiry → Quoted → Paid → Ordered → Delivered</t>
  </si>
  <si>
    <t xml:space="preserve">Finance dashboard — real revenue, margins, payouts</t>
  </si>
  <si>
    <t xml:space="preserve">Finance</t>
  </si>
  <si>
    <t xml:space="preserve">Stripe + Price List</t>
  </si>
  <si>
    <t xml:space="preserve">The big unlock: real-time margin visibility per deal</t>
  </si>
  <si>
    <t xml:space="preserve">Order fulfillment pipeline (Ordered → In Transit → Delivered)</t>
  </si>
  <si>
    <t xml:space="preserve">Pipeline operational</t>
  </si>
  <si>
    <t xml:space="preserve">With automated/manual tags per the deck</t>
  </si>
  <si>
    <t xml:space="preserve">AI chatbot trained on live catalog</t>
  </si>
  <si>
    <t xml:space="preserve">AI Platform</t>
  </si>
  <si>
    <t xml:space="preserve">Products wired</t>
  </si>
  <si>
    <t xml:space="preserve">Claude Haiku, bilingual, 24/7, captures contact info</t>
  </si>
  <si>
    <t xml:space="preserve">AI dashboard assistant connected to Stripe + CRM</t>
  </si>
  <si>
    <t xml:space="preserve">Stripe + CRM live</t>
  </si>
  <si>
    <t xml:space="preserve">'How did we do last month?' → instant answer</t>
  </si>
  <si>
    <t xml:space="preserve">Inventory sync system — manufacturer update detection</t>
  </si>
  <si>
    <t xml:space="preserve">AI parses manufacturer updates, flags changes, Roger approves</t>
  </si>
  <si>
    <t xml:space="preserve">Automated shipping notifications via WhatsApp</t>
  </si>
  <si>
    <t xml:space="preserve">WhatsApp API + pipeline</t>
  </si>
  <si>
    <t xml:space="preserve">Customer gets status updates automatically</t>
  </si>
  <si>
    <t xml:space="preserve">Instagram + Facebook connected (Meta Graph API)</t>
  </si>
  <si>
    <t xml:space="preserve">Marketing Engine</t>
  </si>
  <si>
    <t xml:space="preserve">Free via Meta Graph API; post from dashboard</t>
  </si>
  <si>
    <t xml:space="preserve">SEO foundation — meta tags, structured data, sitemap</t>
  </si>
  <si>
    <t xml:space="preserve">Discovery</t>
  </si>
  <si>
    <t xml:space="preserve">Schema.org already in place per site scan</t>
  </si>
  <si>
    <t xml:space="preserve">AEO content strategy — AI assistant recommendations</t>
  </si>
  <si>
    <t xml:space="preserve">Blog posts started</t>
  </si>
  <si>
    <t xml:space="preserve">Content structured for AI assistants to cite CC</t>
  </si>
  <si>
    <t xml:space="preserve">Newsletter capture via Resend</t>
  </si>
  <si>
    <t xml:space="preserve">Free up to 3k/mo; sign-up on site already exists</t>
  </si>
  <si>
    <t xml:space="preserve">Trade program accepting applications</t>
  </si>
  <si>
    <t xml:space="preserve">Architects, designers, contractors; /trade page exists</t>
  </si>
  <si>
    <t xml:space="preserve">Social content calendar — first month</t>
  </si>
  <si>
    <t xml:space="preserve">Social connected</t>
  </si>
  <si>
    <t xml:space="preserve">Product spotlights, project showcases, brand stories</t>
  </si>
  <si>
    <t xml:space="preserve">Roger dashboard training session</t>
  </si>
  <si>
    <t xml:space="preserve">Launch &amp; Handoff</t>
  </si>
  <si>
    <t xml:space="preserve">Monday Morning</t>
  </si>
  <si>
    <t xml:space="preserve">Dashboard built</t>
  </si>
  <si>
    <t xml:space="preserve">Walk through the 'Monday Morning' slide scenarios</t>
  </si>
  <si>
    <t xml:space="preserve">Finance person training — dashboard + Stripe</t>
  </si>
  <si>
    <t xml:space="preserve">Finance dashboard live</t>
  </si>
  <si>
    <t xml:space="preserve">Manual vs automated responsibilities</t>
  </si>
  <si>
    <t xml:space="preserve">Go-live checklist — final pre-launch review</t>
  </si>
  <si>
    <t xml:space="preserve">Progress</t>
  </si>
  <si>
    <t xml:space="preserve">All ops running</t>
  </si>
  <si>
    <t xml:space="preserve">Week 7</t>
  </si>
  <si>
    <t xml:space="preserve">Domain, SSL, redirects, monitoring, backups</t>
  </si>
  <si>
    <t xml:space="preserve">7-day post-delivery follow-up automation</t>
  </si>
  <si>
    <t xml:space="preserve">Low</t>
  </si>
  <si>
    <t xml:space="preserve">WhatsApp + pipeline</t>
  </si>
  <si>
    <t xml:space="preserve">Automated customer satisfaction check</t>
  </si>
  <si>
    <t xml:space="preserve">Weekly AI-generated business report</t>
  </si>
  <si>
    <t xml:space="preserve">All systems live</t>
  </si>
  <si>
    <t xml:space="preserve">Automated Monday morning report: leads, deals, revenue, margin</t>
  </si>
  <si>
    <t xml:space="preserve">SEO performance baseline + first month report</t>
  </si>
  <si>
    <t xml:space="preserve">Site live 4 weeks</t>
  </si>
  <si>
    <t xml:space="preserve">Track rankings, traffic, lead sources</t>
  </si>
  <si>
    <t xml:space="preserve">Roger confirms delivery timelines by brand/category</t>
  </si>
  <si>
    <t xml:space="preserve">Messaging</t>
  </si>
  <si>
    <t xml:space="preserve">How long from order to delivery? Varies by brand — need ranges for site copy</t>
  </si>
  <si>
    <t xml:space="preserve">Roger picks preferred hero headline direction</t>
  </si>
  <si>
    <t xml:space="preserve">4 options in Messaging Framework — Direct, Benefit-Led, Story-Led, Simple</t>
  </si>
  <si>
    <t xml:space="preserve">Rewrite hero + homepage copy (10-second test)</t>
  </si>
  <si>
    <t xml:space="preserve">Roger picks headline</t>
  </si>
  <si>
    <t xml:space="preserve">Current hero 'Smart Bathrooms/Smart Toilets' fails the test completely</t>
  </si>
  <si>
    <t xml:space="preserve">Add positioning statements to all 19 brand pages</t>
  </si>
  <si>
    <t xml:space="preserve">Hero copy approved</t>
  </si>
  <si>
    <t xml:space="preserve">'Counter Cultures is an authorized [Brand] dealer in San Miguel de Allende'</t>
  </si>
  <si>
    <t xml:space="preserve">Add delivery/process language to product pages</t>
  </si>
  <si>
    <t xml:space="preserve">Delivery timelines confirmed</t>
  </si>
  <si>
    <t xml:space="preserve">'Typical delivery: X weeks' + 'We'll quote within 24 hours'</t>
  </si>
  <si>
    <t xml:space="preserve">Add footer positioning line (every page)</t>
  </si>
  <si>
    <t xml:space="preserve">'Premium kitchen, bath &amp; hardware — San Miguel de Allende, Mexico'</t>
  </si>
  <si>
    <t xml:space="preserve">10-second test audit — every page</t>
  </si>
  <si>
    <t xml:space="preserve">All copy updates done</t>
  </si>
  <si>
    <t xml:space="preserve">Walk every page: can a stranger tell what CC does in 10 seconds?</t>
  </si>
  <si>
    <t xml:space="preserve">Create logo package (full, icon, dark/light, SVG+PNG)</t>
  </si>
  <si>
    <t xml:space="preserve">All variations needed before any templates can be built</t>
  </si>
  <si>
    <t xml:space="preserve">Create brand color + typography reference sheet</t>
  </si>
  <si>
    <t xml:space="preserve">Dark Botanical palette: hex, RGB, CMYK. Font usage rules.</t>
  </si>
  <si>
    <t xml:space="preserve">Create HTML email signatures (Roger + finance)</t>
  </si>
  <si>
    <t xml:space="preserve">Logo package</t>
  </si>
  <si>
    <t xml:space="preserve">Logo, name, title, phone, showroom address, social links</t>
  </si>
  <si>
    <t xml:space="preserve">Brand Stripe invoice template</t>
  </si>
  <si>
    <t xml:space="preserve">Every invoice that leaves CC must be branded</t>
  </si>
  <si>
    <t xml:space="preserve">Create quote PDF template</t>
  </si>
  <si>
    <t xml:space="preserve">Logo + brand ref</t>
  </si>
  <si>
    <t xml:space="preserve">Dashboard generates, saved to Drive, sent to customer</t>
  </si>
  <si>
    <t xml:space="preserve">Build welcome email template (Resend)</t>
  </si>
  <si>
    <t xml:space="preserve">Triggered automatically on new lead</t>
  </si>
  <si>
    <t xml:space="preserve">Build order confirmation email template (Resend)</t>
  </si>
  <si>
    <t xml:space="preserve">Triggered by Stripe payment</t>
  </si>
  <si>
    <t xml:space="preserve">Create WhatsApp message templates for Meta approval</t>
  </si>
  <si>
    <t xml:space="preserve">WhatsApp Business API</t>
  </si>
  <si>
    <t xml:space="preserve">Quote ready, order shipped, delivery scheduled — need Meta approval</t>
  </si>
  <si>
    <t xml:space="preserve">Build shipping + delivery email templates (Resend)</t>
  </si>
  <si>
    <t xml:space="preserve">Shipping update, delivery confirmation, 7-day follow-up</t>
  </si>
  <si>
    <t xml:space="preserve">Create purchase order template for manufacturers</t>
  </si>
  <si>
    <t xml:space="preserve">Dashboard generates PO, saved to Drive</t>
  </si>
  <si>
    <t xml:space="preserve">Create brand guidelines one-pager (PDF)</t>
  </si>
  <si>
    <t xml:space="preserve">Logo + color + type ref</t>
  </si>
  <si>
    <t xml:space="preserve">Logo usage, colors, fonts, tone. For vendors/partners.</t>
  </si>
  <si>
    <t xml:space="preserve">Build newsletter template (Resend)</t>
  </si>
  <si>
    <t xml:space="preserve">Monthly/bi-weekly branded email template</t>
  </si>
  <si>
    <t xml:space="preserve">Create social media post templates</t>
  </si>
  <si>
    <t xml:space="preserve">Instagram + Facebook — product spotlights, project showcases</t>
  </si>
  <si>
    <t xml:space="preserve">Build trade welcome kit PDF</t>
  </si>
  <si>
    <t xml:space="preserve">Brand guidelines</t>
  </si>
  <si>
    <t xml:space="preserve">How to order, discount structure, brand catalog overview</t>
  </si>
  <si>
    <t xml:space="preserve">Create trade price sheets per brand</t>
  </si>
  <si>
    <t xml:space="preserve">Master Price List confirmed</t>
  </si>
  <si>
    <t xml:space="preserve">Generated from Master Price List with CC branding</t>
  </si>
  <si>
    <t xml:space="preserve">Set up Google Drive branded folder structure</t>
  </si>
  <si>
    <t xml:space="preserve">Google Workspace connected</t>
  </si>
  <si>
    <t xml:space="preserve">Brand Kit, Sales, Finance, Marketing, Customer Docs, Trade, Products, Internal</t>
  </si>
  <si>
    <t xml:space="preserve">Roger's Action Items</t>
  </si>
  <si>
    <t xml:space="preserve">Action</t>
  </si>
  <si>
    <t xml:space="preserve">Why It Matters</t>
  </si>
  <si>
    <t xml:space="preserve">Time Needed</t>
  </si>
  <si>
    <t xml:space="preserve">Done?</t>
  </si>
  <si>
    <t xml:space="preserve">Walk the live site and flag issues</t>
  </si>
  <si>
    <t xml:space="preserve">Copy, pricing, categories, brand descriptions — you know the products better than anyone</t>
  </si>
  <si>
    <t xml:space="preserve">1-2 hours</t>
  </si>
  <si>
    <t xml:space="preserve">☐</t>
  </si>
  <si>
    <t xml:space="preserve">Review + confirm the Master Price List</t>
  </si>
  <si>
    <t xml:space="preserve">Dealer costs and margins drive the entire finance dashboard. We need accurate numbers.</t>
  </si>
  <si>
    <t xml:space="preserve">2-3 hours</t>
  </si>
  <si>
    <t xml:space="preserve">Provide real product images (or approve manufacturer sources)</t>
  </si>
  <si>
    <t xml:space="preserve">Stock photos are killing credibility. 64 products need real shots.</t>
  </si>
  <si>
    <t xml:space="preserve">Ongoing</t>
  </si>
  <si>
    <t xml:space="preserve">Share Odoo URL + credentials</t>
  </si>
  <si>
    <t xml:space="preserve">We extract your existing customer data, sales history, and invoices</t>
  </si>
  <si>
    <t xml:space="preserve">5 min</t>
  </si>
  <si>
    <t xml:space="preserve">Connect Google Workspace (grant service account access)</t>
  </si>
  <si>
    <t xml:space="preserve">Unlocks Drive CRM, email sync, and calendar integration</t>
  </si>
  <si>
    <t xml:space="preserve">10 min</t>
  </si>
  <si>
    <t xml:space="preserve">Confirm phone number + email domain</t>
  </si>
  <si>
    <t xml:space="preserve">Currently placeholders on the site. Need the real showroom number.</t>
  </si>
  <si>
    <t xml:space="preserve">Register WhatsApp Business account</t>
  </si>
  <si>
    <t xml:space="preserve">~1 week Meta approval. Critical channel for Mexico.</t>
  </si>
  <si>
    <t xml:space="preserve">15 min + wait</t>
  </si>
  <si>
    <t xml:space="preserve">Review site again after we apply your feedback</t>
  </si>
  <si>
    <t xml:space="preserve">Second pass to confirm we nailed it before go-live</t>
  </si>
  <si>
    <t xml:space="preserve">1 hour</t>
  </si>
  <si>
    <t xml:space="preserve">Dashboard training session (we'll schedule)</t>
  </si>
  <si>
    <t xml:space="preserve">Learn the Monday Morning routine — leads, money, orders, content</t>
  </si>
  <si>
    <t xml:space="preserve">Finance person intro + training</t>
  </si>
  <si>
    <t xml:space="preserve">They need to know what's automated vs. what they handle manually</t>
  </si>
  <si>
    <t xml:space="preserve">Confirm delivery timelines by brand/category</t>
  </si>
  <si>
    <t xml:space="preserve">People want to know how fast things arrive. We need real numbers for every product page.</t>
  </si>
  <si>
    <t xml:space="preserve">Pick a hero headline direction</t>
  </si>
  <si>
    <t xml:space="preserve">4 options in the Messaging Framework. Which one sounds most like Counter Cultures?</t>
  </si>
  <si>
    <t xml:space="preserve">Counter Cultures — Platform Monthly Costs</t>
  </si>
  <si>
    <t xml:space="preserve">Service</t>
  </si>
  <si>
    <t xml:space="preserve">What It Does</t>
  </si>
  <si>
    <t xml:space="preserve">Monthly Cost</t>
  </si>
  <si>
    <t xml:space="preserve">Netlify Pro</t>
  </si>
  <si>
    <t xml:space="preserve">Hosting + CDN + SSL</t>
  </si>
  <si>
    <t xml:space="preserve">countercultures.com.mx</t>
  </si>
  <si>
    <t xml:space="preserve">Anthropic (Claude Haiku)</t>
  </si>
  <si>
    <t xml:space="preserve">AI chatbot + dashboard assistant</t>
  </si>
  <si>
    <t xml:space="preserve">~$10-20/mo based on usage</t>
  </si>
  <si>
    <t xml:space="preserve">Resend</t>
  </si>
  <si>
    <t xml:space="preserve">Transactional email + newsletters</t>
  </si>
  <si>
    <t xml:space="preserve">Free up to 3,000 emails/mo</t>
  </si>
  <si>
    <t xml:space="preserve">Google Workspace</t>
  </si>
  <si>
    <t xml:space="preserve">Drive, Sheets CRM, email, calendar</t>
  </si>
  <si>
    <t xml:space="preserve">Free tier or Roger's existing account</t>
  </si>
  <si>
    <t xml:space="preserve">Meta Graph API</t>
  </si>
  <si>
    <t xml:space="preserve">Instagram + Facebook posting</t>
  </si>
  <si>
    <t xml:space="preserve">Free</t>
  </si>
  <si>
    <t xml:space="preserve">Stripe Mexico</t>
  </si>
  <si>
    <t xml:space="preserve">Payment processing</t>
  </si>
  <si>
    <t xml:space="preserve">3.6% + $3 MXN per transaction (not monthly)</t>
  </si>
  <si>
    <t xml:space="preserve">Customer messaging</t>
  </si>
  <si>
    <t xml:space="preserve">Free for business-initiated; per-conversation after</t>
  </si>
  <si>
    <t xml:space="preserve">Domain</t>
  </si>
  <si>
    <t xml:space="preserve">~$30-40/year</t>
  </si>
  <si>
    <t xml:space="preserve">TOTAL (estimated)</t>
  </si>
  <si>
    <t xml:space="preserve">+ Stripe transaction fees per deal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</si>
</sst>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333333"/>
      <name val="Arial"/>
      <family val="0"/>
      <charset val="1"/>
    </font>
    <font>
      <sz val="11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333333"/>
      <name val="Arial"/>
      <family val="0"/>
      <charset val="1"/>
    </font>
    <font>
      <b val="true"/>
      <sz val="10"/>
      <color rgb="FF333333"/>
      <name val="Arial"/>
      <family val="0"/>
      <charset val="1"/>
    </font>
    <font>
      <sz val="10"/>
      <color rgb="FF9A9590"/>
      <name val="Arial"/>
      <family val="0"/>
      <charset val="1"/>
    </font>
    <font>
      <b val="true"/>
      <sz val="10"/>
      <color rgb="FF7B9AAA"/>
      <name val="Arial"/>
      <family val="0"/>
      <charset val="1"/>
    </font>
    <font>
      <b val="true"/>
      <sz val="10"/>
      <color rgb="FFC47A6A"/>
      <name val="Arial"/>
      <family val="0"/>
      <charset val="1"/>
    </font>
    <font>
      <b val="true"/>
      <sz val="10"/>
      <color rgb="FFD4A574"/>
      <name val="Arial"/>
      <family val="0"/>
      <charset val="1"/>
    </font>
    <font>
      <b val="true"/>
      <sz val="10"/>
      <color rgb="FF0066CC"/>
      <name val="Arial"/>
      <family val="0"/>
      <charset val="1"/>
    </font>
    <font>
      <sz val="10"/>
      <color rgb="FF7B9AAA"/>
      <name val="Arial"/>
      <family val="0"/>
      <charset val="1"/>
    </font>
    <font>
      <b val="true"/>
      <sz val="16"/>
      <color rgb="FF333333"/>
      <name val="Arial"/>
      <family val="0"/>
      <charset val="1"/>
    </font>
    <font>
      <b val="true"/>
      <sz val="14"/>
      <color rgb="FF333333"/>
      <name val="Arial"/>
      <family val="0"/>
      <charset val="1"/>
    </font>
    <font>
      <b val="true"/>
      <sz val="11"/>
      <color rgb="FF333333"/>
      <name val="Arial"/>
      <family val="0"/>
      <charset val="1"/>
    </font>
    <font>
      <sz val="10"/>
      <color rgb="FF99999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333330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DDD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33333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4A574"/>
      <rgbColor rgb="FF9A9590"/>
      <rgbColor rgb="FF7B9AAA"/>
      <rgbColor rgb="FF993366"/>
      <rgbColor rgb="FFFFFFCC"/>
      <rgbColor rgb="FFCCFFFF"/>
      <rgbColor rgb="FF660066"/>
      <rgbColor rgb="FFC47A6A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003366"/>
      <rgbColor rgb="FF339966"/>
      <rgbColor rgb="FF003300"/>
      <rgbColor rgb="FF33333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22"/>
    <col collapsed="false" customWidth="true" hidden="false" outlineLevel="0" max="3" min="3" style="1" width="8"/>
    <col collapsed="false" customWidth="true" hidden="false" outlineLevel="0" max="5" min="4" style="1" width="14"/>
    <col collapsed="false" customWidth="true" hidden="false" outlineLevel="0" max="6" min="6" style="1" width="16"/>
    <col collapsed="false" customWidth="true" hidden="false" outlineLevel="0" max="7" min="7" style="1" width="50"/>
  </cols>
  <sheetData>
    <row r="1" customFormat="false" ht="30" hidden="false" customHeight="true" outlineLevel="0" collapsed="false">
      <c r="A1" s="2" t="s">
        <v>0</v>
      </c>
      <c r="B1" s="2"/>
      <c r="C1" s="2"/>
      <c r="D1" s="2"/>
      <c r="E1" s="2"/>
      <c r="F1" s="2"/>
      <c r="G1" s="2"/>
    </row>
    <row r="2" customFormat="false" ht="19.5" hidden="false" customHeight="true" outlineLevel="0" collapsed="false">
      <c r="A2" s="3" t="s">
        <v>1</v>
      </c>
      <c r="B2" s="3"/>
      <c r="C2" s="3"/>
      <c r="D2" s="3"/>
      <c r="E2" s="3"/>
      <c r="F2" s="3"/>
      <c r="G2" s="3"/>
    </row>
    <row r="4" customFormat="false" ht="1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</row>
    <row r="5" customFormat="false" ht="15" hidden="false" customHeight="true" outlineLevel="0" collapsed="false">
      <c r="A5" s="5" t="s">
        <v>9</v>
      </c>
      <c r="B5" s="5" t="s">
        <v>10</v>
      </c>
      <c r="C5" s="6" t="n">
        <f aca="false">COUNTIF(Tasks!B:B,"Platform Setup")</f>
        <v>9</v>
      </c>
      <c r="D5" s="7" t="s">
        <v>11</v>
      </c>
      <c r="E5" s="5" t="s">
        <v>12</v>
      </c>
      <c r="F5" s="5" t="s">
        <v>13</v>
      </c>
      <c r="G5" s="5" t="s">
        <v>14</v>
      </c>
    </row>
    <row r="6" customFormat="false" ht="15" hidden="false" customHeight="true" outlineLevel="0" collapsed="false">
      <c r="A6" s="5" t="s">
        <v>15</v>
      </c>
      <c r="B6" s="5" t="s">
        <v>10</v>
      </c>
      <c r="C6" s="6" t="n">
        <f aca="false">COUNTIF(Tasks!B:B,"Catalog &amp; Content")</f>
        <v>20</v>
      </c>
      <c r="D6" s="8" t="s">
        <v>16</v>
      </c>
      <c r="E6" s="5" t="s">
        <v>12</v>
      </c>
      <c r="F6" s="5" t="s">
        <v>17</v>
      </c>
      <c r="G6" s="5" t="s">
        <v>18</v>
      </c>
    </row>
    <row r="7" customFormat="false" ht="15" hidden="false" customHeight="true" outlineLevel="0" collapsed="false">
      <c r="A7" s="5" t="s">
        <v>19</v>
      </c>
      <c r="B7" s="5" t="s">
        <v>20</v>
      </c>
      <c r="C7" s="6" t="n">
        <f aca="false">COUNTIF(Tasks!B:B,"Operations Build")</f>
        <v>13</v>
      </c>
      <c r="D7" s="7" t="s">
        <v>11</v>
      </c>
      <c r="E7" s="5" t="s">
        <v>21</v>
      </c>
      <c r="F7" s="5" t="s">
        <v>22</v>
      </c>
      <c r="G7" s="5" t="s">
        <v>23</v>
      </c>
    </row>
    <row r="8" customFormat="false" ht="15" hidden="false" customHeight="true" outlineLevel="0" collapsed="false">
      <c r="A8" s="5" t="s">
        <v>24</v>
      </c>
      <c r="B8" s="5" t="s">
        <v>20</v>
      </c>
      <c r="C8" s="6" t="n">
        <f aca="false">COUNTIF(Tasks!B:B,"Marketing Engine")</f>
        <v>10</v>
      </c>
      <c r="D8" s="7" t="s">
        <v>11</v>
      </c>
      <c r="E8" s="5" t="s">
        <v>22</v>
      </c>
      <c r="F8" s="5" t="s">
        <v>25</v>
      </c>
      <c r="G8" s="5" t="s">
        <v>26</v>
      </c>
    </row>
    <row r="9" customFormat="false" ht="15" hidden="false" customHeight="true" outlineLevel="0" collapsed="false">
      <c r="A9" s="5" t="s">
        <v>27</v>
      </c>
      <c r="B9" s="5" t="s">
        <v>10</v>
      </c>
      <c r="C9" s="6" t="n">
        <f aca="false">COUNTIF(Tasks!B:B,"Launch &amp; Handoff")</f>
        <v>7</v>
      </c>
      <c r="D9" s="7" t="s">
        <v>11</v>
      </c>
      <c r="E9" s="5" t="s">
        <v>28</v>
      </c>
      <c r="F9" s="5" t="s">
        <v>25</v>
      </c>
      <c r="G9" s="5" t="s">
        <v>29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8"/>
    <col collapsed="false" customWidth="true" hidden="false" outlineLevel="0" max="2" min="2" style="1" width="18"/>
    <col collapsed="false" customWidth="true" hidden="false" outlineLevel="0" max="3" min="3" style="1" width="20"/>
    <col collapsed="false" customWidth="true" hidden="false" outlineLevel="0" max="4" min="4" style="1" width="10"/>
    <col collapsed="false" customWidth="true" hidden="false" outlineLevel="0" max="5" min="5" style="1" width="13"/>
    <col collapsed="false" customWidth="true" hidden="false" outlineLevel="0" max="6" min="6" style="1" width="14"/>
    <col collapsed="false" customWidth="true" hidden="false" outlineLevel="0" max="7" min="7" style="1" width="24"/>
    <col collapsed="false" customWidth="true" hidden="false" outlineLevel="0" max="8" min="8" style="1" width="12"/>
    <col collapsed="false" customWidth="true" hidden="false" outlineLevel="0" max="9" min="9" style="1" width="50"/>
  </cols>
  <sheetData>
    <row r="1" customFormat="false" ht="24" hidden="false" customHeight="true" outlineLevel="0" collapsed="false">
      <c r="A1" s="9" t="s">
        <v>30</v>
      </c>
      <c r="B1" s="9" t="s">
        <v>2</v>
      </c>
      <c r="C1" s="9" t="s">
        <v>3</v>
      </c>
      <c r="D1" s="9" t="s">
        <v>31</v>
      </c>
      <c r="E1" s="9" t="s">
        <v>5</v>
      </c>
      <c r="F1" s="9" t="s">
        <v>32</v>
      </c>
      <c r="G1" s="9" t="s">
        <v>33</v>
      </c>
      <c r="H1" s="9" t="s">
        <v>34</v>
      </c>
      <c r="I1" s="9" t="s">
        <v>8</v>
      </c>
    </row>
    <row r="2" customFormat="false" ht="15" hidden="false" customHeight="true" outlineLevel="0" collapsed="false">
      <c r="A2" s="10" t="s">
        <v>35</v>
      </c>
      <c r="B2" s="10" t="s">
        <v>36</v>
      </c>
      <c r="C2" s="10" t="s">
        <v>37</v>
      </c>
      <c r="D2" s="11" t="s">
        <v>38</v>
      </c>
      <c r="E2" s="10" t="s">
        <v>11</v>
      </c>
      <c r="F2" s="10" t="s">
        <v>39</v>
      </c>
      <c r="G2" s="10" t="s">
        <v>40</v>
      </c>
      <c r="H2" s="10" t="s">
        <v>12</v>
      </c>
      <c r="I2" s="10" t="s">
        <v>41</v>
      </c>
    </row>
    <row r="3" customFormat="false" ht="15" hidden="false" customHeight="true" outlineLevel="0" collapsed="false">
      <c r="A3" s="10" t="s">
        <v>42</v>
      </c>
      <c r="B3" s="10" t="s">
        <v>36</v>
      </c>
      <c r="C3" s="10" t="s">
        <v>20</v>
      </c>
      <c r="D3" s="11" t="s">
        <v>38</v>
      </c>
      <c r="E3" s="10" t="s">
        <v>11</v>
      </c>
      <c r="F3" s="10" t="s">
        <v>43</v>
      </c>
      <c r="G3" s="10" t="s">
        <v>44</v>
      </c>
      <c r="H3" s="10" t="s">
        <v>12</v>
      </c>
      <c r="I3" s="10" t="s">
        <v>45</v>
      </c>
    </row>
    <row r="4" customFormat="false" ht="23.25" hidden="false" customHeight="true" outlineLevel="0" collapsed="false">
      <c r="A4" s="10" t="s">
        <v>46</v>
      </c>
      <c r="B4" s="10" t="s">
        <v>36</v>
      </c>
      <c r="C4" s="10" t="s">
        <v>20</v>
      </c>
      <c r="D4" s="11" t="s">
        <v>38</v>
      </c>
      <c r="E4" s="10" t="s">
        <v>11</v>
      </c>
      <c r="F4" s="10" t="s">
        <v>39</v>
      </c>
      <c r="G4" s="10" t="s">
        <v>40</v>
      </c>
      <c r="H4" s="10" t="s">
        <v>12</v>
      </c>
      <c r="I4" s="10" t="s">
        <v>47</v>
      </c>
    </row>
    <row r="5" customFormat="false" ht="15" hidden="false" customHeight="true" outlineLevel="0" collapsed="false">
      <c r="A5" s="10" t="s">
        <v>48</v>
      </c>
      <c r="B5" s="10" t="s">
        <v>36</v>
      </c>
      <c r="C5" s="10" t="s">
        <v>37</v>
      </c>
      <c r="D5" s="11" t="s">
        <v>38</v>
      </c>
      <c r="E5" s="10" t="s">
        <v>11</v>
      </c>
      <c r="F5" s="10" t="s">
        <v>39</v>
      </c>
      <c r="G5" s="10" t="s">
        <v>40</v>
      </c>
      <c r="H5" s="10" t="s">
        <v>12</v>
      </c>
      <c r="I5" s="10" t="s">
        <v>49</v>
      </c>
    </row>
    <row r="6" customFormat="false" ht="15" hidden="false" customHeight="true" outlineLevel="0" collapsed="false">
      <c r="A6" s="10" t="s">
        <v>50</v>
      </c>
      <c r="B6" s="10" t="s">
        <v>36</v>
      </c>
      <c r="C6" s="10" t="s">
        <v>37</v>
      </c>
      <c r="D6" s="12" t="s">
        <v>51</v>
      </c>
      <c r="E6" s="10" t="s">
        <v>11</v>
      </c>
      <c r="F6" s="10" t="s">
        <v>39</v>
      </c>
      <c r="G6" s="10" t="s">
        <v>40</v>
      </c>
      <c r="H6" s="10" t="s">
        <v>12</v>
      </c>
      <c r="I6" s="10" t="s">
        <v>52</v>
      </c>
    </row>
    <row r="7" customFormat="false" ht="15" hidden="false" customHeight="true" outlineLevel="0" collapsed="false">
      <c r="A7" s="10" t="s">
        <v>53</v>
      </c>
      <c r="B7" s="10" t="s">
        <v>36</v>
      </c>
      <c r="C7" s="10" t="s">
        <v>54</v>
      </c>
      <c r="D7" s="12" t="s">
        <v>51</v>
      </c>
      <c r="E7" s="10" t="s">
        <v>11</v>
      </c>
      <c r="F7" s="10" t="s">
        <v>43</v>
      </c>
      <c r="G7" s="10" t="s">
        <v>55</v>
      </c>
      <c r="H7" s="10" t="s">
        <v>13</v>
      </c>
      <c r="I7" s="10" t="s">
        <v>56</v>
      </c>
    </row>
    <row r="8" customFormat="false" ht="15" hidden="false" customHeight="true" outlineLevel="0" collapsed="false">
      <c r="A8" s="10" t="s">
        <v>57</v>
      </c>
      <c r="B8" s="10" t="s">
        <v>36</v>
      </c>
      <c r="C8" s="10" t="s">
        <v>37</v>
      </c>
      <c r="D8" s="12" t="s">
        <v>51</v>
      </c>
      <c r="E8" s="10" t="s">
        <v>11</v>
      </c>
      <c r="F8" s="10" t="s">
        <v>39</v>
      </c>
      <c r="G8" s="10" t="s">
        <v>40</v>
      </c>
      <c r="H8" s="10" t="s">
        <v>12</v>
      </c>
      <c r="I8" s="10" t="s">
        <v>58</v>
      </c>
    </row>
    <row r="9" customFormat="false" ht="15" hidden="false" customHeight="true" outlineLevel="0" collapsed="false">
      <c r="A9" s="10" t="s">
        <v>59</v>
      </c>
      <c r="B9" s="10" t="s">
        <v>36</v>
      </c>
      <c r="C9" s="10" t="s">
        <v>20</v>
      </c>
      <c r="D9" s="12" t="s">
        <v>51</v>
      </c>
      <c r="E9" s="10" t="s">
        <v>11</v>
      </c>
      <c r="F9" s="10" t="s">
        <v>60</v>
      </c>
      <c r="G9" s="10" t="s">
        <v>61</v>
      </c>
      <c r="H9" s="10" t="s">
        <v>13</v>
      </c>
      <c r="I9" s="10" t="s">
        <v>62</v>
      </c>
    </row>
    <row r="10" customFormat="false" ht="23.25" hidden="false" customHeight="true" outlineLevel="0" collapsed="false">
      <c r="A10" s="10" t="s">
        <v>63</v>
      </c>
      <c r="B10" s="10" t="s">
        <v>64</v>
      </c>
      <c r="C10" s="10" t="s">
        <v>37</v>
      </c>
      <c r="D10" s="11" t="s">
        <v>38</v>
      </c>
      <c r="E10" s="10" t="s">
        <v>11</v>
      </c>
      <c r="F10" s="10" t="s">
        <v>39</v>
      </c>
      <c r="G10" s="10" t="s">
        <v>40</v>
      </c>
      <c r="H10" s="10" t="s">
        <v>12</v>
      </c>
      <c r="I10" s="10" t="s">
        <v>65</v>
      </c>
    </row>
    <row r="11" customFormat="false" ht="15" hidden="false" customHeight="true" outlineLevel="0" collapsed="false">
      <c r="A11" s="10" t="s">
        <v>66</v>
      </c>
      <c r="B11" s="10" t="s">
        <v>64</v>
      </c>
      <c r="C11" s="10" t="s">
        <v>20</v>
      </c>
      <c r="D11" s="11" t="s">
        <v>38</v>
      </c>
      <c r="E11" s="13" t="s">
        <v>16</v>
      </c>
      <c r="F11" s="10" t="s">
        <v>39</v>
      </c>
      <c r="G11" s="10" t="s">
        <v>40</v>
      </c>
      <c r="H11" s="10" t="s">
        <v>12</v>
      </c>
      <c r="I11" s="10" t="s">
        <v>67</v>
      </c>
    </row>
    <row r="12" customFormat="false" ht="15" hidden="false" customHeight="true" outlineLevel="0" collapsed="false">
      <c r="A12" s="10" t="s">
        <v>68</v>
      </c>
      <c r="B12" s="10" t="s">
        <v>64</v>
      </c>
      <c r="C12" s="10" t="s">
        <v>54</v>
      </c>
      <c r="D12" s="11" t="s">
        <v>38</v>
      </c>
      <c r="E12" s="10" t="s">
        <v>11</v>
      </c>
      <c r="F12" s="10" t="s">
        <v>39</v>
      </c>
      <c r="G12" s="10" t="s">
        <v>69</v>
      </c>
      <c r="H12" s="10" t="s">
        <v>13</v>
      </c>
      <c r="I12" s="10" t="s">
        <v>70</v>
      </c>
    </row>
    <row r="13" customFormat="false" ht="15" hidden="false" customHeight="true" outlineLevel="0" collapsed="false">
      <c r="A13" s="10" t="s">
        <v>71</v>
      </c>
      <c r="B13" s="10" t="s">
        <v>64</v>
      </c>
      <c r="C13" s="10" t="s">
        <v>20</v>
      </c>
      <c r="D13" s="12" t="s">
        <v>51</v>
      </c>
      <c r="E13" s="10" t="s">
        <v>11</v>
      </c>
      <c r="F13" s="10" t="s">
        <v>39</v>
      </c>
      <c r="G13" s="10" t="s">
        <v>72</v>
      </c>
      <c r="H13" s="10" t="s">
        <v>21</v>
      </c>
      <c r="I13" s="10" t="s">
        <v>73</v>
      </c>
    </row>
    <row r="14" customFormat="false" ht="15" hidden="false" customHeight="true" outlineLevel="0" collapsed="false">
      <c r="A14" s="10" t="s">
        <v>74</v>
      </c>
      <c r="B14" s="10" t="s">
        <v>64</v>
      </c>
      <c r="C14" s="10" t="s">
        <v>37</v>
      </c>
      <c r="D14" s="11" t="s">
        <v>38</v>
      </c>
      <c r="E14" s="10" t="s">
        <v>11</v>
      </c>
      <c r="F14" s="10" t="s">
        <v>39</v>
      </c>
      <c r="G14" s="10" t="s">
        <v>40</v>
      </c>
      <c r="H14" s="10" t="s">
        <v>12</v>
      </c>
      <c r="I14" s="10" t="s">
        <v>75</v>
      </c>
    </row>
    <row r="15" customFormat="false" ht="23.25" hidden="false" customHeight="true" outlineLevel="0" collapsed="false">
      <c r="A15" s="10" t="s">
        <v>76</v>
      </c>
      <c r="B15" s="10" t="s">
        <v>64</v>
      </c>
      <c r="C15" s="10" t="s">
        <v>20</v>
      </c>
      <c r="D15" s="12" t="s">
        <v>51</v>
      </c>
      <c r="E15" s="10" t="s">
        <v>11</v>
      </c>
      <c r="F15" s="10" t="s">
        <v>39</v>
      </c>
      <c r="G15" s="10" t="s">
        <v>77</v>
      </c>
      <c r="H15" s="10" t="s">
        <v>21</v>
      </c>
      <c r="I15" s="10" t="s">
        <v>78</v>
      </c>
    </row>
    <row r="16" customFormat="false" ht="15" hidden="false" customHeight="true" outlineLevel="0" collapsed="false">
      <c r="A16" s="10" t="s">
        <v>79</v>
      </c>
      <c r="B16" s="10" t="s">
        <v>64</v>
      </c>
      <c r="C16" s="10" t="s">
        <v>20</v>
      </c>
      <c r="D16" s="11" t="s">
        <v>38</v>
      </c>
      <c r="E16" s="10" t="s">
        <v>11</v>
      </c>
      <c r="F16" s="10" t="s">
        <v>80</v>
      </c>
      <c r="G16" s="10" t="s">
        <v>81</v>
      </c>
      <c r="H16" s="10" t="s">
        <v>13</v>
      </c>
      <c r="I16" s="10" t="s">
        <v>82</v>
      </c>
    </row>
    <row r="17" customFormat="false" ht="15" hidden="false" customHeight="true" outlineLevel="0" collapsed="false">
      <c r="A17" s="10" t="s">
        <v>83</v>
      </c>
      <c r="B17" s="10" t="s">
        <v>64</v>
      </c>
      <c r="C17" s="10" t="s">
        <v>20</v>
      </c>
      <c r="D17" s="12" t="s">
        <v>51</v>
      </c>
      <c r="E17" s="10" t="s">
        <v>11</v>
      </c>
      <c r="F17" s="10" t="s">
        <v>80</v>
      </c>
      <c r="G17" s="10" t="s">
        <v>84</v>
      </c>
      <c r="H17" s="10" t="s">
        <v>13</v>
      </c>
      <c r="I17" s="10" t="s">
        <v>85</v>
      </c>
    </row>
    <row r="18" customFormat="false" ht="15" hidden="false" customHeight="true" outlineLevel="0" collapsed="false">
      <c r="A18" s="10" t="s">
        <v>86</v>
      </c>
      <c r="B18" s="10" t="s">
        <v>64</v>
      </c>
      <c r="C18" s="10" t="s">
        <v>20</v>
      </c>
      <c r="D18" s="14" t="s">
        <v>87</v>
      </c>
      <c r="E18" s="10" t="s">
        <v>11</v>
      </c>
      <c r="F18" s="10" t="s">
        <v>88</v>
      </c>
      <c r="G18" s="10" t="s">
        <v>89</v>
      </c>
      <c r="H18" s="10" t="s">
        <v>90</v>
      </c>
      <c r="I18" s="10" t="s">
        <v>91</v>
      </c>
    </row>
    <row r="19" customFormat="false" ht="23.25" hidden="false" customHeight="true" outlineLevel="0" collapsed="false">
      <c r="A19" s="10" t="s">
        <v>92</v>
      </c>
      <c r="B19" s="10" t="s">
        <v>93</v>
      </c>
      <c r="C19" s="10" t="s">
        <v>20</v>
      </c>
      <c r="D19" s="11" t="s">
        <v>38</v>
      </c>
      <c r="E19" s="10" t="s">
        <v>11</v>
      </c>
      <c r="F19" s="10" t="s">
        <v>94</v>
      </c>
      <c r="G19" s="10" t="s">
        <v>95</v>
      </c>
      <c r="H19" s="10" t="s">
        <v>21</v>
      </c>
      <c r="I19" s="10" t="s">
        <v>96</v>
      </c>
    </row>
    <row r="20" customFormat="false" ht="15" hidden="false" customHeight="true" outlineLevel="0" collapsed="false">
      <c r="A20" s="10" t="s">
        <v>97</v>
      </c>
      <c r="B20" s="10" t="s">
        <v>93</v>
      </c>
      <c r="C20" s="10" t="s">
        <v>20</v>
      </c>
      <c r="D20" s="11" t="s">
        <v>38</v>
      </c>
      <c r="E20" s="10" t="s">
        <v>11</v>
      </c>
      <c r="F20" s="10" t="s">
        <v>98</v>
      </c>
      <c r="G20" s="10" t="s">
        <v>99</v>
      </c>
      <c r="H20" s="10" t="s">
        <v>21</v>
      </c>
      <c r="I20" s="10" t="s">
        <v>100</v>
      </c>
    </row>
    <row r="21" customFormat="false" ht="23.25" hidden="false" customHeight="true" outlineLevel="0" collapsed="false">
      <c r="A21" s="10" t="s">
        <v>101</v>
      </c>
      <c r="B21" s="10" t="s">
        <v>93</v>
      </c>
      <c r="C21" s="10" t="s">
        <v>20</v>
      </c>
      <c r="D21" s="12" t="s">
        <v>51</v>
      </c>
      <c r="E21" s="10" t="s">
        <v>11</v>
      </c>
      <c r="F21" s="10" t="s">
        <v>60</v>
      </c>
      <c r="G21" s="10" t="s">
        <v>102</v>
      </c>
      <c r="H21" s="10" t="s">
        <v>17</v>
      </c>
      <c r="I21" s="10" t="s">
        <v>103</v>
      </c>
    </row>
    <row r="22" customFormat="false" ht="15" hidden="false" customHeight="true" outlineLevel="0" collapsed="false">
      <c r="A22" s="10" t="s">
        <v>104</v>
      </c>
      <c r="B22" s="10" t="s">
        <v>93</v>
      </c>
      <c r="C22" s="10" t="s">
        <v>20</v>
      </c>
      <c r="D22" s="12" t="s">
        <v>51</v>
      </c>
      <c r="E22" s="10" t="s">
        <v>11</v>
      </c>
      <c r="F22" s="10" t="s">
        <v>105</v>
      </c>
      <c r="G22" s="10" t="s">
        <v>106</v>
      </c>
      <c r="H22" s="10" t="s">
        <v>21</v>
      </c>
      <c r="I22" s="10" t="s">
        <v>107</v>
      </c>
    </row>
    <row r="23" customFormat="false" ht="15" hidden="false" customHeight="true" outlineLevel="0" collapsed="false">
      <c r="A23" s="10" t="s">
        <v>108</v>
      </c>
      <c r="B23" s="10" t="s">
        <v>93</v>
      </c>
      <c r="C23" s="10" t="s">
        <v>20</v>
      </c>
      <c r="D23" s="14" t="s">
        <v>87</v>
      </c>
      <c r="E23" s="10" t="s">
        <v>11</v>
      </c>
      <c r="F23" s="10" t="s">
        <v>105</v>
      </c>
      <c r="G23" s="10" t="s">
        <v>109</v>
      </c>
      <c r="H23" s="10" t="s">
        <v>17</v>
      </c>
      <c r="I23" s="10" t="s">
        <v>110</v>
      </c>
    </row>
    <row r="24" customFormat="false" ht="23.25" hidden="false" customHeight="true" outlineLevel="0" collapsed="false">
      <c r="A24" s="10" t="s">
        <v>111</v>
      </c>
      <c r="B24" s="10" t="s">
        <v>93</v>
      </c>
      <c r="C24" s="10" t="s">
        <v>20</v>
      </c>
      <c r="D24" s="14" t="s">
        <v>87</v>
      </c>
      <c r="E24" s="10" t="s">
        <v>11</v>
      </c>
      <c r="F24" s="10" t="s">
        <v>80</v>
      </c>
      <c r="G24" s="10" t="s">
        <v>106</v>
      </c>
      <c r="H24" s="10" t="s">
        <v>22</v>
      </c>
      <c r="I24" s="10" t="s">
        <v>112</v>
      </c>
    </row>
    <row r="25" customFormat="false" ht="15" hidden="false" customHeight="true" outlineLevel="0" collapsed="false">
      <c r="A25" s="10" t="s">
        <v>113</v>
      </c>
      <c r="B25" s="10" t="s">
        <v>93</v>
      </c>
      <c r="C25" s="10" t="s">
        <v>20</v>
      </c>
      <c r="D25" s="14" t="s">
        <v>87</v>
      </c>
      <c r="E25" s="10" t="s">
        <v>11</v>
      </c>
      <c r="F25" s="10" t="s">
        <v>60</v>
      </c>
      <c r="G25" s="10" t="s">
        <v>114</v>
      </c>
      <c r="H25" s="10" t="s">
        <v>22</v>
      </c>
      <c r="I25" s="10" t="s">
        <v>115</v>
      </c>
    </row>
    <row r="26" customFormat="false" ht="15" hidden="false" customHeight="true" outlineLevel="0" collapsed="false">
      <c r="A26" s="10" t="s">
        <v>116</v>
      </c>
      <c r="B26" s="10" t="s">
        <v>117</v>
      </c>
      <c r="C26" s="10" t="s">
        <v>20</v>
      </c>
      <c r="D26" s="12" t="s">
        <v>51</v>
      </c>
      <c r="E26" s="10" t="s">
        <v>11</v>
      </c>
      <c r="F26" s="10" t="s">
        <v>88</v>
      </c>
      <c r="G26" s="10" t="s">
        <v>89</v>
      </c>
      <c r="H26" s="10" t="s">
        <v>22</v>
      </c>
      <c r="I26" s="10" t="s">
        <v>118</v>
      </c>
    </row>
    <row r="27" customFormat="false" ht="15" hidden="false" customHeight="true" outlineLevel="0" collapsed="false">
      <c r="A27" s="10" t="s">
        <v>119</v>
      </c>
      <c r="B27" s="10" t="s">
        <v>117</v>
      </c>
      <c r="C27" s="10" t="s">
        <v>20</v>
      </c>
      <c r="D27" s="12" t="s">
        <v>51</v>
      </c>
      <c r="E27" s="13" t="s">
        <v>16</v>
      </c>
      <c r="F27" s="10" t="s">
        <v>120</v>
      </c>
      <c r="G27" s="10" t="s">
        <v>40</v>
      </c>
      <c r="H27" s="10" t="s">
        <v>22</v>
      </c>
      <c r="I27" s="10" t="s">
        <v>121</v>
      </c>
    </row>
    <row r="28" customFormat="false" ht="15" hidden="false" customHeight="true" outlineLevel="0" collapsed="false">
      <c r="A28" s="10" t="s">
        <v>122</v>
      </c>
      <c r="B28" s="10" t="s">
        <v>117</v>
      </c>
      <c r="C28" s="10" t="s">
        <v>20</v>
      </c>
      <c r="D28" s="14" t="s">
        <v>87</v>
      </c>
      <c r="E28" s="10" t="s">
        <v>11</v>
      </c>
      <c r="F28" s="10" t="s">
        <v>120</v>
      </c>
      <c r="G28" s="10" t="s">
        <v>123</v>
      </c>
      <c r="H28" s="10" t="s">
        <v>28</v>
      </c>
      <c r="I28" s="10" t="s">
        <v>124</v>
      </c>
    </row>
    <row r="29" customFormat="false" ht="15" hidden="false" customHeight="true" outlineLevel="0" collapsed="false">
      <c r="A29" s="10" t="s">
        <v>125</v>
      </c>
      <c r="B29" s="10" t="s">
        <v>117</v>
      </c>
      <c r="C29" s="10" t="s">
        <v>20</v>
      </c>
      <c r="D29" s="14" t="s">
        <v>87</v>
      </c>
      <c r="E29" s="10" t="s">
        <v>11</v>
      </c>
      <c r="F29" s="10" t="s">
        <v>88</v>
      </c>
      <c r="G29" s="10" t="s">
        <v>89</v>
      </c>
      <c r="H29" s="10" t="s">
        <v>22</v>
      </c>
      <c r="I29" s="10" t="s">
        <v>126</v>
      </c>
    </row>
    <row r="30" customFormat="false" ht="15" hidden="false" customHeight="true" outlineLevel="0" collapsed="false">
      <c r="A30" s="10" t="s">
        <v>127</v>
      </c>
      <c r="B30" s="10" t="s">
        <v>117</v>
      </c>
      <c r="C30" s="10" t="s">
        <v>20</v>
      </c>
      <c r="D30" s="14" t="s">
        <v>87</v>
      </c>
      <c r="E30" s="10" t="s">
        <v>11</v>
      </c>
      <c r="F30" s="10" t="s">
        <v>120</v>
      </c>
      <c r="G30" s="10" t="s">
        <v>89</v>
      </c>
      <c r="H30" s="10" t="s">
        <v>22</v>
      </c>
      <c r="I30" s="10" t="s">
        <v>128</v>
      </c>
    </row>
    <row r="31" customFormat="false" ht="15" hidden="false" customHeight="true" outlineLevel="0" collapsed="false">
      <c r="A31" s="10" t="s">
        <v>129</v>
      </c>
      <c r="B31" s="10" t="s">
        <v>117</v>
      </c>
      <c r="C31" s="10" t="s">
        <v>20</v>
      </c>
      <c r="D31" s="14" t="s">
        <v>87</v>
      </c>
      <c r="E31" s="10" t="s">
        <v>11</v>
      </c>
      <c r="F31" s="10" t="s">
        <v>88</v>
      </c>
      <c r="G31" s="10" t="s">
        <v>130</v>
      </c>
      <c r="H31" s="10" t="s">
        <v>28</v>
      </c>
      <c r="I31" s="10" t="s">
        <v>131</v>
      </c>
    </row>
    <row r="32" customFormat="false" ht="15" hidden="false" customHeight="true" outlineLevel="0" collapsed="false">
      <c r="A32" s="10" t="s">
        <v>132</v>
      </c>
      <c r="B32" s="10" t="s">
        <v>133</v>
      </c>
      <c r="C32" s="10" t="s">
        <v>20</v>
      </c>
      <c r="D32" s="12" t="s">
        <v>51</v>
      </c>
      <c r="E32" s="10" t="s">
        <v>11</v>
      </c>
      <c r="F32" s="10" t="s">
        <v>134</v>
      </c>
      <c r="G32" s="10" t="s">
        <v>135</v>
      </c>
      <c r="H32" s="10" t="s">
        <v>28</v>
      </c>
      <c r="I32" s="10" t="s">
        <v>136</v>
      </c>
    </row>
    <row r="33" customFormat="false" ht="15" hidden="false" customHeight="true" outlineLevel="0" collapsed="false">
      <c r="A33" s="10" t="s">
        <v>137</v>
      </c>
      <c r="B33" s="10" t="s">
        <v>133</v>
      </c>
      <c r="C33" s="10" t="s">
        <v>20</v>
      </c>
      <c r="D33" s="12" t="s">
        <v>51</v>
      </c>
      <c r="E33" s="10" t="s">
        <v>11</v>
      </c>
      <c r="F33" s="10" t="s">
        <v>98</v>
      </c>
      <c r="G33" s="10" t="s">
        <v>138</v>
      </c>
      <c r="H33" s="10" t="s">
        <v>28</v>
      </c>
      <c r="I33" s="10" t="s">
        <v>139</v>
      </c>
    </row>
    <row r="34" customFormat="false" ht="15" hidden="false" customHeight="true" outlineLevel="0" collapsed="false">
      <c r="A34" s="10" t="s">
        <v>140</v>
      </c>
      <c r="B34" s="10" t="s">
        <v>133</v>
      </c>
      <c r="C34" s="10" t="s">
        <v>20</v>
      </c>
      <c r="D34" s="11" t="s">
        <v>38</v>
      </c>
      <c r="E34" s="10" t="s">
        <v>11</v>
      </c>
      <c r="F34" s="10" t="s">
        <v>141</v>
      </c>
      <c r="G34" s="10" t="s">
        <v>142</v>
      </c>
      <c r="H34" s="10" t="s">
        <v>143</v>
      </c>
      <c r="I34" s="10" t="s">
        <v>144</v>
      </c>
    </row>
    <row r="35" customFormat="false" ht="15" hidden="false" customHeight="true" outlineLevel="0" collapsed="false">
      <c r="A35" s="10" t="s">
        <v>145</v>
      </c>
      <c r="B35" s="10" t="s">
        <v>133</v>
      </c>
      <c r="C35" s="10" t="s">
        <v>20</v>
      </c>
      <c r="D35" s="10" t="s">
        <v>146</v>
      </c>
      <c r="E35" s="10" t="s">
        <v>11</v>
      </c>
      <c r="F35" s="10" t="s">
        <v>60</v>
      </c>
      <c r="G35" s="10" t="s">
        <v>147</v>
      </c>
      <c r="H35" s="10" t="s">
        <v>25</v>
      </c>
      <c r="I35" s="10" t="s">
        <v>148</v>
      </c>
    </row>
    <row r="36" customFormat="false" ht="23.25" hidden="false" customHeight="true" outlineLevel="0" collapsed="false">
      <c r="A36" s="10" t="s">
        <v>149</v>
      </c>
      <c r="B36" s="10" t="s">
        <v>133</v>
      </c>
      <c r="C36" s="10" t="s">
        <v>20</v>
      </c>
      <c r="D36" s="14" t="s">
        <v>87</v>
      </c>
      <c r="E36" s="10" t="s">
        <v>11</v>
      </c>
      <c r="F36" s="10" t="s">
        <v>134</v>
      </c>
      <c r="G36" s="10" t="s">
        <v>150</v>
      </c>
      <c r="H36" s="10" t="s">
        <v>25</v>
      </c>
      <c r="I36" s="10" t="s">
        <v>151</v>
      </c>
    </row>
    <row r="37" customFormat="false" ht="15" hidden="false" customHeight="true" outlineLevel="0" collapsed="false">
      <c r="A37" s="10" t="s">
        <v>152</v>
      </c>
      <c r="B37" s="10" t="s">
        <v>133</v>
      </c>
      <c r="C37" s="10" t="s">
        <v>20</v>
      </c>
      <c r="D37" s="14" t="s">
        <v>87</v>
      </c>
      <c r="E37" s="10" t="s">
        <v>11</v>
      </c>
      <c r="F37" s="10" t="s">
        <v>120</v>
      </c>
      <c r="G37" s="10" t="s">
        <v>153</v>
      </c>
      <c r="H37" s="10" t="s">
        <v>25</v>
      </c>
      <c r="I37" s="10" t="s">
        <v>154</v>
      </c>
    </row>
    <row r="38" customFormat="false" ht="23.25" hidden="false" customHeight="true" outlineLevel="0" collapsed="false">
      <c r="A38" s="10" t="s">
        <v>155</v>
      </c>
      <c r="B38" s="10" t="s">
        <v>64</v>
      </c>
      <c r="C38" s="10" t="s">
        <v>37</v>
      </c>
      <c r="D38" s="11" t="s">
        <v>38</v>
      </c>
      <c r="E38" s="10" t="s">
        <v>11</v>
      </c>
      <c r="F38" s="10" t="s">
        <v>156</v>
      </c>
      <c r="G38" s="10" t="s">
        <v>40</v>
      </c>
      <c r="H38" s="10" t="s">
        <v>12</v>
      </c>
      <c r="I38" s="10" t="s">
        <v>157</v>
      </c>
    </row>
    <row r="39" customFormat="false" ht="23.25" hidden="false" customHeight="true" outlineLevel="0" collapsed="false">
      <c r="A39" s="10" t="s">
        <v>158</v>
      </c>
      <c r="B39" s="10" t="s">
        <v>64</v>
      </c>
      <c r="C39" s="10" t="s">
        <v>37</v>
      </c>
      <c r="D39" s="12" t="s">
        <v>51</v>
      </c>
      <c r="E39" s="10" t="s">
        <v>11</v>
      </c>
      <c r="F39" s="10" t="s">
        <v>156</v>
      </c>
      <c r="G39" s="10" t="s">
        <v>40</v>
      </c>
      <c r="H39" s="10" t="s">
        <v>12</v>
      </c>
      <c r="I39" s="10" t="s">
        <v>159</v>
      </c>
    </row>
    <row r="40" customFormat="false" ht="23.25" hidden="false" customHeight="true" outlineLevel="0" collapsed="false">
      <c r="A40" s="10" t="s">
        <v>160</v>
      </c>
      <c r="B40" s="10" t="s">
        <v>64</v>
      </c>
      <c r="C40" s="10" t="s">
        <v>20</v>
      </c>
      <c r="D40" s="11" t="s">
        <v>38</v>
      </c>
      <c r="E40" s="10" t="s">
        <v>11</v>
      </c>
      <c r="F40" s="10" t="s">
        <v>156</v>
      </c>
      <c r="G40" s="10" t="s">
        <v>161</v>
      </c>
      <c r="H40" s="10" t="s">
        <v>13</v>
      </c>
      <c r="I40" s="10" t="s">
        <v>162</v>
      </c>
    </row>
    <row r="41" customFormat="false" ht="23.25" hidden="false" customHeight="true" outlineLevel="0" collapsed="false">
      <c r="A41" s="10" t="s">
        <v>163</v>
      </c>
      <c r="B41" s="10" t="s">
        <v>64</v>
      </c>
      <c r="C41" s="10" t="s">
        <v>20</v>
      </c>
      <c r="D41" s="12" t="s">
        <v>51</v>
      </c>
      <c r="E41" s="10" t="s">
        <v>11</v>
      </c>
      <c r="F41" s="10" t="s">
        <v>156</v>
      </c>
      <c r="G41" s="10" t="s">
        <v>164</v>
      </c>
      <c r="H41" s="10" t="s">
        <v>21</v>
      </c>
      <c r="I41" s="10" t="s">
        <v>165</v>
      </c>
    </row>
    <row r="42" customFormat="false" ht="15" hidden="false" customHeight="true" outlineLevel="0" collapsed="false">
      <c r="A42" s="10" t="s">
        <v>166</v>
      </c>
      <c r="B42" s="10" t="s">
        <v>64</v>
      </c>
      <c r="C42" s="10" t="s">
        <v>20</v>
      </c>
      <c r="D42" s="12" t="s">
        <v>51</v>
      </c>
      <c r="E42" s="10" t="s">
        <v>11</v>
      </c>
      <c r="F42" s="10" t="s">
        <v>156</v>
      </c>
      <c r="G42" s="10" t="s">
        <v>167</v>
      </c>
      <c r="H42" s="10" t="s">
        <v>21</v>
      </c>
      <c r="I42" s="10" t="s">
        <v>168</v>
      </c>
    </row>
    <row r="43" customFormat="false" ht="23.25" hidden="false" customHeight="true" outlineLevel="0" collapsed="false">
      <c r="A43" s="10" t="s">
        <v>169</v>
      </c>
      <c r="B43" s="10" t="s">
        <v>64</v>
      </c>
      <c r="C43" s="10" t="s">
        <v>20</v>
      </c>
      <c r="D43" s="14" t="s">
        <v>87</v>
      </c>
      <c r="E43" s="10" t="s">
        <v>11</v>
      </c>
      <c r="F43" s="10" t="s">
        <v>156</v>
      </c>
      <c r="G43" s="10" t="s">
        <v>164</v>
      </c>
      <c r="H43" s="10" t="s">
        <v>13</v>
      </c>
      <c r="I43" s="10" t="s">
        <v>170</v>
      </c>
    </row>
    <row r="44" customFormat="false" ht="23.25" hidden="false" customHeight="true" outlineLevel="0" collapsed="false">
      <c r="A44" s="10" t="s">
        <v>171</v>
      </c>
      <c r="B44" s="10" t="s">
        <v>133</v>
      </c>
      <c r="C44" s="10" t="s">
        <v>20</v>
      </c>
      <c r="D44" s="12" t="s">
        <v>51</v>
      </c>
      <c r="E44" s="10" t="s">
        <v>11</v>
      </c>
      <c r="F44" s="10" t="s">
        <v>156</v>
      </c>
      <c r="G44" s="10" t="s">
        <v>172</v>
      </c>
      <c r="H44" s="10" t="s">
        <v>17</v>
      </c>
      <c r="I44" s="10" t="s">
        <v>173</v>
      </c>
    </row>
    <row r="45" customFormat="false" ht="15" hidden="false" customHeight="false" outlineLevel="0" collapsed="false">
      <c r="A45" s="10" t="s">
        <v>174</v>
      </c>
      <c r="B45" s="10" t="s">
        <v>64</v>
      </c>
      <c r="C45" s="10" t="s">
        <v>20</v>
      </c>
      <c r="D45" s="11" t="s">
        <v>38</v>
      </c>
      <c r="E45" s="10" t="s">
        <v>11</v>
      </c>
      <c r="F45" s="10" t="s">
        <v>88</v>
      </c>
      <c r="G45" s="10" t="s">
        <v>40</v>
      </c>
      <c r="H45" s="10" t="s">
        <v>12</v>
      </c>
      <c r="I45" s="10" t="s">
        <v>175</v>
      </c>
    </row>
    <row r="46" customFormat="false" ht="15" hidden="false" customHeight="false" outlineLevel="0" collapsed="false">
      <c r="A46" s="10" t="s">
        <v>176</v>
      </c>
      <c r="B46" s="10" t="s">
        <v>64</v>
      </c>
      <c r="C46" s="10" t="s">
        <v>20</v>
      </c>
      <c r="D46" s="11" t="s">
        <v>38</v>
      </c>
      <c r="E46" s="10" t="s">
        <v>11</v>
      </c>
      <c r="F46" s="10" t="s">
        <v>88</v>
      </c>
      <c r="G46" s="10" t="s">
        <v>40</v>
      </c>
      <c r="H46" s="10" t="s">
        <v>12</v>
      </c>
      <c r="I46" s="10" t="s">
        <v>177</v>
      </c>
    </row>
    <row r="47" customFormat="false" ht="15" hidden="false" customHeight="false" outlineLevel="0" collapsed="false">
      <c r="A47" s="10" t="s">
        <v>178</v>
      </c>
      <c r="B47" s="10" t="s">
        <v>64</v>
      </c>
      <c r="C47" s="10" t="s">
        <v>20</v>
      </c>
      <c r="D47" s="12" t="s">
        <v>51</v>
      </c>
      <c r="E47" s="10" t="s">
        <v>11</v>
      </c>
      <c r="F47" s="10" t="s">
        <v>88</v>
      </c>
      <c r="G47" s="10" t="s">
        <v>179</v>
      </c>
      <c r="H47" s="10" t="s">
        <v>12</v>
      </c>
      <c r="I47" s="10" t="s">
        <v>180</v>
      </c>
    </row>
    <row r="48" customFormat="false" ht="15" hidden="false" customHeight="false" outlineLevel="0" collapsed="false">
      <c r="A48" s="10" t="s">
        <v>181</v>
      </c>
      <c r="B48" s="10" t="s">
        <v>64</v>
      </c>
      <c r="C48" s="10" t="s">
        <v>20</v>
      </c>
      <c r="D48" s="11" t="s">
        <v>38</v>
      </c>
      <c r="E48" s="10" t="s">
        <v>11</v>
      </c>
      <c r="F48" s="10" t="s">
        <v>98</v>
      </c>
      <c r="G48" s="10" t="s">
        <v>179</v>
      </c>
      <c r="H48" s="10" t="s">
        <v>13</v>
      </c>
      <c r="I48" s="10" t="s">
        <v>182</v>
      </c>
    </row>
    <row r="49" customFormat="false" ht="15" hidden="false" customHeight="false" outlineLevel="0" collapsed="false">
      <c r="A49" s="10" t="s">
        <v>183</v>
      </c>
      <c r="B49" s="10" t="s">
        <v>93</v>
      </c>
      <c r="C49" s="10" t="s">
        <v>20</v>
      </c>
      <c r="D49" s="11" t="s">
        <v>38</v>
      </c>
      <c r="E49" s="10" t="s">
        <v>11</v>
      </c>
      <c r="F49" s="10" t="s">
        <v>94</v>
      </c>
      <c r="G49" s="10" t="s">
        <v>184</v>
      </c>
      <c r="H49" s="10" t="s">
        <v>13</v>
      </c>
      <c r="I49" s="10" t="s">
        <v>185</v>
      </c>
    </row>
    <row r="50" customFormat="false" ht="15" hidden="false" customHeight="false" outlineLevel="0" collapsed="false">
      <c r="A50" s="10" t="s">
        <v>186</v>
      </c>
      <c r="B50" s="10" t="s">
        <v>93</v>
      </c>
      <c r="C50" s="10" t="s">
        <v>20</v>
      </c>
      <c r="D50" s="12" t="s">
        <v>51</v>
      </c>
      <c r="E50" s="10" t="s">
        <v>11</v>
      </c>
      <c r="F50" s="10" t="s">
        <v>94</v>
      </c>
      <c r="G50" s="10" t="s">
        <v>184</v>
      </c>
      <c r="H50" s="10" t="s">
        <v>13</v>
      </c>
      <c r="I50" s="10" t="s">
        <v>187</v>
      </c>
    </row>
    <row r="51" customFormat="false" ht="15" hidden="false" customHeight="false" outlineLevel="0" collapsed="false">
      <c r="A51" s="10" t="s">
        <v>188</v>
      </c>
      <c r="B51" s="10" t="s">
        <v>93</v>
      </c>
      <c r="C51" s="10" t="s">
        <v>20</v>
      </c>
      <c r="D51" s="12" t="s">
        <v>51</v>
      </c>
      <c r="E51" s="10" t="s">
        <v>11</v>
      </c>
      <c r="F51" s="10" t="s">
        <v>60</v>
      </c>
      <c r="G51" s="10" t="s">
        <v>184</v>
      </c>
      <c r="H51" s="10" t="s">
        <v>13</v>
      </c>
      <c r="I51" s="10" t="s">
        <v>189</v>
      </c>
    </row>
    <row r="52" customFormat="false" ht="23.85" hidden="false" customHeight="false" outlineLevel="0" collapsed="false">
      <c r="A52" s="10" t="s">
        <v>190</v>
      </c>
      <c r="B52" s="10" t="s">
        <v>93</v>
      </c>
      <c r="C52" s="10" t="s">
        <v>20</v>
      </c>
      <c r="D52" s="12" t="s">
        <v>51</v>
      </c>
      <c r="E52" s="10" t="s">
        <v>11</v>
      </c>
      <c r="F52" s="10" t="s">
        <v>60</v>
      </c>
      <c r="G52" s="10" t="s">
        <v>191</v>
      </c>
      <c r="H52" s="10" t="s">
        <v>13</v>
      </c>
      <c r="I52" s="10" t="s">
        <v>192</v>
      </c>
    </row>
    <row r="53" customFormat="false" ht="15" hidden="false" customHeight="false" outlineLevel="0" collapsed="false">
      <c r="A53" s="10" t="s">
        <v>193</v>
      </c>
      <c r="B53" s="10" t="s">
        <v>93</v>
      </c>
      <c r="C53" s="10" t="s">
        <v>20</v>
      </c>
      <c r="D53" s="14" t="s">
        <v>87</v>
      </c>
      <c r="E53" s="10" t="s">
        <v>11</v>
      </c>
      <c r="F53" s="10" t="s">
        <v>60</v>
      </c>
      <c r="G53" s="10" t="s">
        <v>184</v>
      </c>
      <c r="H53" s="10" t="s">
        <v>21</v>
      </c>
      <c r="I53" s="10" t="s">
        <v>194</v>
      </c>
    </row>
    <row r="54" customFormat="false" ht="15" hidden="false" customHeight="false" outlineLevel="0" collapsed="false">
      <c r="A54" s="10" t="s">
        <v>195</v>
      </c>
      <c r="B54" s="10" t="s">
        <v>93</v>
      </c>
      <c r="C54" s="10" t="s">
        <v>20</v>
      </c>
      <c r="D54" s="12" t="s">
        <v>51</v>
      </c>
      <c r="E54" s="10" t="s">
        <v>11</v>
      </c>
      <c r="F54" s="10" t="s">
        <v>60</v>
      </c>
      <c r="G54" s="10" t="s">
        <v>184</v>
      </c>
      <c r="H54" s="10" t="s">
        <v>21</v>
      </c>
      <c r="I54" s="10" t="s">
        <v>196</v>
      </c>
    </row>
    <row r="55" customFormat="false" ht="15" hidden="false" customHeight="false" outlineLevel="0" collapsed="false">
      <c r="A55" s="10" t="s">
        <v>197</v>
      </c>
      <c r="B55" s="10" t="s">
        <v>64</v>
      </c>
      <c r="C55" s="10" t="s">
        <v>20</v>
      </c>
      <c r="D55" s="14" t="s">
        <v>87</v>
      </c>
      <c r="E55" s="10" t="s">
        <v>11</v>
      </c>
      <c r="F55" s="10" t="s">
        <v>88</v>
      </c>
      <c r="G55" s="10" t="s">
        <v>198</v>
      </c>
      <c r="H55" s="10" t="s">
        <v>13</v>
      </c>
      <c r="I55" s="10" t="s">
        <v>199</v>
      </c>
    </row>
    <row r="56" customFormat="false" ht="15" hidden="false" customHeight="false" outlineLevel="0" collapsed="false">
      <c r="A56" s="10" t="s">
        <v>200</v>
      </c>
      <c r="B56" s="10" t="s">
        <v>117</v>
      </c>
      <c r="C56" s="10" t="s">
        <v>20</v>
      </c>
      <c r="D56" s="14" t="s">
        <v>87</v>
      </c>
      <c r="E56" s="10" t="s">
        <v>11</v>
      </c>
      <c r="F56" s="10" t="s">
        <v>88</v>
      </c>
      <c r="G56" s="10" t="s">
        <v>184</v>
      </c>
      <c r="H56" s="10" t="s">
        <v>22</v>
      </c>
      <c r="I56" s="10" t="s">
        <v>201</v>
      </c>
    </row>
    <row r="57" customFormat="false" ht="23.85" hidden="false" customHeight="false" outlineLevel="0" collapsed="false">
      <c r="A57" s="10" t="s">
        <v>202</v>
      </c>
      <c r="B57" s="10" t="s">
        <v>117</v>
      </c>
      <c r="C57" s="10" t="s">
        <v>20</v>
      </c>
      <c r="D57" s="14" t="s">
        <v>87</v>
      </c>
      <c r="E57" s="10" t="s">
        <v>11</v>
      </c>
      <c r="F57" s="10" t="s">
        <v>88</v>
      </c>
      <c r="G57" s="10" t="s">
        <v>184</v>
      </c>
      <c r="H57" s="10" t="s">
        <v>22</v>
      </c>
      <c r="I57" s="10" t="s">
        <v>203</v>
      </c>
    </row>
    <row r="58" customFormat="false" ht="15" hidden="false" customHeight="false" outlineLevel="0" collapsed="false">
      <c r="A58" s="10" t="s">
        <v>204</v>
      </c>
      <c r="B58" s="10" t="s">
        <v>117</v>
      </c>
      <c r="C58" s="10" t="s">
        <v>20</v>
      </c>
      <c r="D58" s="14" t="s">
        <v>87</v>
      </c>
      <c r="E58" s="10" t="s">
        <v>11</v>
      </c>
      <c r="F58" s="10" t="s">
        <v>120</v>
      </c>
      <c r="G58" s="10" t="s">
        <v>205</v>
      </c>
      <c r="H58" s="10" t="s">
        <v>28</v>
      </c>
      <c r="I58" s="10" t="s">
        <v>206</v>
      </c>
    </row>
    <row r="59" customFormat="false" ht="15" hidden="false" customHeight="false" outlineLevel="0" collapsed="false">
      <c r="A59" s="10" t="s">
        <v>207</v>
      </c>
      <c r="B59" s="10" t="s">
        <v>117</v>
      </c>
      <c r="C59" s="10" t="s">
        <v>20</v>
      </c>
      <c r="D59" s="14" t="s">
        <v>87</v>
      </c>
      <c r="E59" s="10" t="s">
        <v>11</v>
      </c>
      <c r="F59" s="10" t="s">
        <v>98</v>
      </c>
      <c r="G59" s="10" t="s">
        <v>208</v>
      </c>
      <c r="H59" s="10" t="s">
        <v>28</v>
      </c>
      <c r="I59" s="10" t="s">
        <v>209</v>
      </c>
    </row>
    <row r="60" customFormat="false" ht="23.85" hidden="false" customHeight="false" outlineLevel="0" collapsed="false">
      <c r="A60" s="10" t="s">
        <v>210</v>
      </c>
      <c r="B60" s="10" t="s">
        <v>36</v>
      </c>
      <c r="C60" s="10" t="s">
        <v>20</v>
      </c>
      <c r="D60" s="12" t="s">
        <v>51</v>
      </c>
      <c r="E60" s="10" t="s">
        <v>11</v>
      </c>
      <c r="F60" s="10" t="s">
        <v>88</v>
      </c>
      <c r="G60" s="10" t="s">
        <v>211</v>
      </c>
      <c r="H60" s="10" t="s">
        <v>13</v>
      </c>
      <c r="I60" s="10" t="s">
        <v>212</v>
      </c>
    </row>
  </sheetData>
  <autoFilter ref="A1:I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8"/>
    <col collapsed="false" customWidth="true" hidden="false" outlineLevel="0" max="2" min="2" style="1" width="55"/>
    <col collapsed="false" customWidth="true" hidden="false" outlineLevel="0" max="3" min="3" style="1" width="16"/>
    <col collapsed="false" customWidth="true" hidden="false" outlineLevel="0" max="4" min="4" style="1" width="8"/>
  </cols>
  <sheetData>
    <row r="1" customFormat="false" ht="19.5" hidden="false" customHeight="true" outlineLevel="0" collapsed="false">
      <c r="A1" s="15" t="s">
        <v>213</v>
      </c>
      <c r="B1" s="15"/>
      <c r="C1" s="15"/>
      <c r="D1" s="15"/>
    </row>
    <row r="3" customFormat="false" ht="15" hidden="false" customHeight="true" outlineLevel="0" collapsed="false">
      <c r="A3" s="4" t="s">
        <v>214</v>
      </c>
      <c r="B3" s="4" t="s">
        <v>215</v>
      </c>
      <c r="C3" s="4" t="s">
        <v>216</v>
      </c>
      <c r="D3" s="4" t="s">
        <v>217</v>
      </c>
    </row>
    <row r="4" customFormat="false" ht="23.25" hidden="false" customHeight="true" outlineLevel="0" collapsed="false">
      <c r="A4" s="10" t="s">
        <v>218</v>
      </c>
      <c r="B4" s="10" t="s">
        <v>219</v>
      </c>
      <c r="C4" s="10" t="s">
        <v>220</v>
      </c>
      <c r="D4" s="10" t="s">
        <v>221</v>
      </c>
    </row>
    <row r="5" customFormat="false" ht="23.25" hidden="false" customHeight="true" outlineLevel="0" collapsed="false">
      <c r="A5" s="10" t="s">
        <v>222</v>
      </c>
      <c r="B5" s="10" t="s">
        <v>223</v>
      </c>
      <c r="C5" s="10" t="s">
        <v>224</v>
      </c>
      <c r="D5" s="10" t="s">
        <v>221</v>
      </c>
    </row>
    <row r="6" customFormat="false" ht="23.25" hidden="false" customHeight="true" outlineLevel="0" collapsed="false">
      <c r="A6" s="10" t="s">
        <v>225</v>
      </c>
      <c r="B6" s="10" t="s">
        <v>226</v>
      </c>
      <c r="C6" s="10" t="s">
        <v>227</v>
      </c>
      <c r="D6" s="10" t="s">
        <v>221</v>
      </c>
    </row>
    <row r="7" customFormat="false" ht="15" hidden="false" customHeight="true" outlineLevel="0" collapsed="false">
      <c r="A7" s="10" t="s">
        <v>228</v>
      </c>
      <c r="B7" s="10" t="s">
        <v>229</v>
      </c>
      <c r="C7" s="10" t="s">
        <v>230</v>
      </c>
      <c r="D7" s="10" t="s">
        <v>221</v>
      </c>
    </row>
    <row r="8" customFormat="false" ht="23.25" hidden="false" customHeight="true" outlineLevel="0" collapsed="false">
      <c r="A8" s="10" t="s">
        <v>231</v>
      </c>
      <c r="B8" s="10" t="s">
        <v>232</v>
      </c>
      <c r="C8" s="10" t="s">
        <v>233</v>
      </c>
      <c r="D8" s="10" t="s">
        <v>221</v>
      </c>
    </row>
    <row r="9" customFormat="false" ht="23.25" hidden="false" customHeight="true" outlineLevel="0" collapsed="false">
      <c r="A9" s="10" t="s">
        <v>234</v>
      </c>
      <c r="B9" s="10" t="s">
        <v>235</v>
      </c>
      <c r="C9" s="10" t="s">
        <v>230</v>
      </c>
      <c r="D9" s="10" t="s">
        <v>221</v>
      </c>
    </row>
    <row r="10" customFormat="false" ht="15" hidden="false" customHeight="true" outlineLevel="0" collapsed="false">
      <c r="A10" s="10" t="s">
        <v>236</v>
      </c>
      <c r="B10" s="10" t="s">
        <v>237</v>
      </c>
      <c r="C10" s="10" t="s">
        <v>238</v>
      </c>
      <c r="D10" s="10" t="s">
        <v>221</v>
      </c>
    </row>
    <row r="11" customFormat="false" ht="15" hidden="false" customHeight="true" outlineLevel="0" collapsed="false">
      <c r="A11" s="10" t="s">
        <v>239</v>
      </c>
      <c r="B11" s="10" t="s">
        <v>240</v>
      </c>
      <c r="C11" s="10" t="s">
        <v>241</v>
      </c>
      <c r="D11" s="10" t="s">
        <v>221</v>
      </c>
    </row>
    <row r="12" customFormat="false" ht="15" hidden="false" customHeight="true" outlineLevel="0" collapsed="false">
      <c r="A12" s="10" t="s">
        <v>242</v>
      </c>
      <c r="B12" s="10" t="s">
        <v>243</v>
      </c>
      <c r="C12" s="10" t="s">
        <v>241</v>
      </c>
      <c r="D12" s="10" t="s">
        <v>221</v>
      </c>
    </row>
    <row r="13" customFormat="false" ht="23.25" hidden="false" customHeight="true" outlineLevel="0" collapsed="false">
      <c r="A13" s="10" t="s">
        <v>244</v>
      </c>
      <c r="B13" s="10" t="s">
        <v>245</v>
      </c>
      <c r="C13" s="10" t="s">
        <v>241</v>
      </c>
      <c r="D13" s="10" t="s">
        <v>221</v>
      </c>
    </row>
    <row r="14" customFormat="false" ht="23.25" hidden="false" customHeight="true" outlineLevel="0" collapsed="false">
      <c r="A14" s="10" t="s">
        <v>246</v>
      </c>
      <c r="B14" s="10" t="s">
        <v>247</v>
      </c>
      <c r="C14" s="10" t="s">
        <v>241</v>
      </c>
      <c r="D14" s="10" t="s">
        <v>221</v>
      </c>
    </row>
    <row r="15" customFormat="false" ht="23.25" hidden="false" customHeight="true" outlineLevel="0" collapsed="false">
      <c r="A15" s="10" t="s">
        <v>248</v>
      </c>
      <c r="B15" s="10" t="s">
        <v>249</v>
      </c>
      <c r="C15" s="10" t="s">
        <v>233</v>
      </c>
      <c r="D15" s="10" t="s">
        <v>221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38"/>
    <col collapsed="false" customWidth="true" hidden="false" outlineLevel="0" max="3" min="3" style="1" width="14"/>
    <col collapsed="false" customWidth="true" hidden="false" outlineLevel="0" max="4" min="4" style="1" width="45"/>
  </cols>
  <sheetData>
    <row r="1" customFormat="false" ht="17.25" hidden="false" customHeight="true" outlineLevel="0" collapsed="false">
      <c r="A1" s="16" t="s">
        <v>250</v>
      </c>
      <c r="B1" s="16"/>
      <c r="C1" s="16"/>
      <c r="D1" s="16"/>
    </row>
    <row r="3" customFormat="false" ht="15" hidden="false" customHeight="true" outlineLevel="0" collapsed="false">
      <c r="A3" s="17" t="s">
        <v>251</v>
      </c>
      <c r="B3" s="17" t="s">
        <v>252</v>
      </c>
      <c r="C3" s="17" t="s">
        <v>253</v>
      </c>
      <c r="D3" s="17" t="s">
        <v>8</v>
      </c>
    </row>
    <row r="4" customFormat="false" ht="15" hidden="false" customHeight="true" outlineLevel="0" collapsed="false">
      <c r="A4" s="5" t="s">
        <v>254</v>
      </c>
      <c r="B4" s="5" t="s">
        <v>255</v>
      </c>
      <c r="C4" s="18" t="n">
        <v>19</v>
      </c>
      <c r="D4" s="5" t="s">
        <v>256</v>
      </c>
    </row>
    <row r="5" customFormat="false" ht="15" hidden="false" customHeight="true" outlineLevel="0" collapsed="false">
      <c r="A5" s="5" t="s">
        <v>257</v>
      </c>
      <c r="B5" s="5" t="s">
        <v>258</v>
      </c>
      <c r="C5" s="18" t="n">
        <v>15</v>
      </c>
      <c r="D5" s="5" t="s">
        <v>259</v>
      </c>
    </row>
    <row r="6" customFormat="false" ht="15" hidden="false" customHeight="true" outlineLevel="0" collapsed="false">
      <c r="A6" s="5" t="s">
        <v>260</v>
      </c>
      <c r="B6" s="5" t="s">
        <v>261</v>
      </c>
      <c r="C6" s="18" t="n">
        <v>0</v>
      </c>
      <c r="D6" s="5" t="s">
        <v>262</v>
      </c>
    </row>
    <row r="7" customFormat="false" ht="15" hidden="false" customHeight="true" outlineLevel="0" collapsed="false">
      <c r="A7" s="5" t="s">
        <v>263</v>
      </c>
      <c r="B7" s="5" t="s">
        <v>264</v>
      </c>
      <c r="C7" s="18" t="n">
        <v>0</v>
      </c>
      <c r="D7" s="5" t="s">
        <v>265</v>
      </c>
    </row>
    <row r="8" customFormat="false" ht="15" hidden="false" customHeight="true" outlineLevel="0" collapsed="false">
      <c r="A8" s="5" t="s">
        <v>266</v>
      </c>
      <c r="B8" s="5" t="s">
        <v>267</v>
      </c>
      <c r="C8" s="18" t="n">
        <v>0</v>
      </c>
      <c r="D8" s="5" t="s">
        <v>268</v>
      </c>
    </row>
    <row r="9" customFormat="false" ht="15" hidden="false" customHeight="true" outlineLevel="0" collapsed="false">
      <c r="A9" s="5" t="s">
        <v>269</v>
      </c>
      <c r="B9" s="5" t="s">
        <v>270</v>
      </c>
      <c r="C9" s="18" t="n">
        <v>0</v>
      </c>
      <c r="D9" s="5" t="s">
        <v>271</v>
      </c>
    </row>
    <row r="10" customFormat="false" ht="15" hidden="false" customHeight="true" outlineLevel="0" collapsed="false">
      <c r="A10" s="5" t="s">
        <v>191</v>
      </c>
      <c r="B10" s="5" t="s">
        <v>272</v>
      </c>
      <c r="C10" s="18" t="n">
        <v>0</v>
      </c>
      <c r="D10" s="5" t="s">
        <v>273</v>
      </c>
    </row>
    <row r="11" customFormat="false" ht="15" hidden="false" customHeight="true" outlineLevel="0" collapsed="false">
      <c r="A11" s="5" t="s">
        <v>274</v>
      </c>
      <c r="B11" s="5" t="s">
        <v>256</v>
      </c>
      <c r="C11" s="18" t="n">
        <v>3</v>
      </c>
      <c r="D11" s="5" t="s">
        <v>275</v>
      </c>
    </row>
    <row r="12" customFormat="false" ht="15" hidden="false" customHeight="true" outlineLevel="0" collapsed="false">
      <c r="A12" s="19" t="s">
        <v>276</v>
      </c>
      <c r="C12" s="20" t="n">
        <f aca="false">SUM(C4:C11)</f>
        <v>37</v>
      </c>
      <c r="D12" s="21" t="s">
        <v>277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2026-04-03T15:16:36Z</dcterms:created>
  <dc:creator>openpyxl</dc:creator>
  <dc:description/>
  <dc:language>en-US</dc:language>
  <cp:lastModifiedBy/>
  <dcterms:modified xsi:type="dcterms:W3CDTF">2026-04-06T15:52:53Z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